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AppData\Local\Temp\Rar$DIa8496.17801.rartemp\"/>
    </mc:Choice>
  </mc:AlternateContent>
  <bookViews>
    <workbookView xWindow="0" yWindow="0" windowWidth="20490" windowHeight="7530" tabRatio="500" firstSheet="7" activeTab="5"/>
  </bookViews>
  <sheets>
    <sheet name="Funnel" sheetId="2" r:id="rId1"/>
    <sheet name="AI_Confidence" sheetId="3" r:id="rId2"/>
    <sheet name="DFT" sheetId="4" r:id="rId3"/>
    <sheet name="Green" sheetId="5" r:id="rId4"/>
    <sheet name="Composite" sheetId="6" r:id="rId5"/>
    <sheet name="Sensitivity" sheetId="8" r:id="rId6"/>
    <sheet name="Normalization" sheetId="7" r:id="rId7"/>
    <sheet name="Generalization" sheetId="9" r:id="rId8"/>
    <sheet name="Pathways_48" sheetId="10" r:id="rId9"/>
    <sheet name="Pathways_Check" sheetId="11" r:id="rId10"/>
    <sheet name="Qualitative_Tables" sheetId="12" r:id="rId1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11" l="1"/>
  <c r="C34" i="11"/>
  <c r="C33" i="11"/>
  <c r="C32" i="11"/>
  <c r="C31" i="11"/>
  <c r="C30" i="11"/>
  <c r="C29" i="11"/>
  <c r="C27" i="11"/>
  <c r="C26" i="11"/>
  <c r="C25" i="11"/>
  <c r="C24" i="11"/>
  <c r="C23" i="11"/>
  <c r="C22" i="11"/>
  <c r="C21" i="11"/>
  <c r="B21" i="11"/>
  <c r="D21" i="11" s="1"/>
  <c r="C20" i="11"/>
  <c r="B20" i="11"/>
  <c r="C19" i="11"/>
  <c r="B19" i="11"/>
  <c r="D19" i="11" s="1"/>
  <c r="C18" i="11"/>
  <c r="B18" i="11"/>
  <c r="D18" i="11" s="1"/>
  <c r="D17" i="11"/>
  <c r="C17" i="11"/>
  <c r="B17" i="11"/>
  <c r="C16" i="11"/>
  <c r="B16" i="11"/>
  <c r="C15" i="11"/>
  <c r="B15" i="11"/>
  <c r="D15" i="11" s="1"/>
  <c r="C14" i="11"/>
  <c r="B14" i="11"/>
  <c r="D14" i="11" s="1"/>
  <c r="D13" i="11"/>
  <c r="C13" i="11"/>
  <c r="B13" i="11"/>
  <c r="C12" i="11"/>
  <c r="B12" i="11"/>
  <c r="C11" i="11"/>
  <c r="B11" i="11"/>
  <c r="D11" i="11" s="1"/>
  <c r="C10" i="11"/>
  <c r="B10" i="11"/>
  <c r="C9" i="11"/>
  <c r="C8" i="11"/>
  <c r="C7" i="11"/>
  <c r="C6" i="11"/>
  <c r="C5" i="11"/>
  <c r="B5" i="11"/>
  <c r="D5" i="11" s="1"/>
  <c r="C4" i="11"/>
  <c r="D4" i="11" s="1"/>
  <c r="B4" i="11"/>
  <c r="I59" i="10"/>
  <c r="M59" i="10" s="1"/>
  <c r="S59" i="10" s="1"/>
  <c r="I58" i="10"/>
  <c r="M58" i="10" s="1"/>
  <c r="S58" i="10" s="1"/>
  <c r="S57" i="10"/>
  <c r="M57" i="10"/>
  <c r="I57" i="10"/>
  <c r="M56" i="10"/>
  <c r="S56" i="10" s="1"/>
  <c r="I56" i="10"/>
  <c r="I55" i="10"/>
  <c r="M55" i="10" s="1"/>
  <c r="S55" i="10" s="1"/>
  <c r="I54" i="10"/>
  <c r="M54" i="10" s="1"/>
  <c r="S54" i="10" s="1"/>
  <c r="S53" i="10"/>
  <c r="M53" i="10"/>
  <c r="I53" i="10"/>
  <c r="M52" i="10"/>
  <c r="S52" i="10" s="1"/>
  <c r="I52" i="10"/>
  <c r="I51" i="10"/>
  <c r="M51" i="10" s="1"/>
  <c r="S51" i="10" s="1"/>
  <c r="I50" i="10"/>
  <c r="M50" i="10" s="1"/>
  <c r="S50" i="10" s="1"/>
  <c r="S49" i="10"/>
  <c r="M49" i="10"/>
  <c r="I49" i="10"/>
  <c r="M48" i="10"/>
  <c r="S48" i="10" s="1"/>
  <c r="I48" i="10"/>
  <c r="I47" i="10"/>
  <c r="M47" i="10" s="1"/>
  <c r="S47" i="10" s="1"/>
  <c r="I46" i="10"/>
  <c r="M46" i="10" s="1"/>
  <c r="S46" i="10" s="1"/>
  <c r="S45" i="10"/>
  <c r="M45" i="10"/>
  <c r="I45" i="10"/>
  <c r="M44" i="10"/>
  <c r="S44" i="10" s="1"/>
  <c r="I44" i="10"/>
  <c r="I43" i="10"/>
  <c r="M43" i="10" s="1"/>
  <c r="S43" i="10" s="1"/>
  <c r="I42" i="10"/>
  <c r="M42" i="10" s="1"/>
  <c r="S42" i="10" s="1"/>
  <c r="S41" i="10"/>
  <c r="M41" i="10"/>
  <c r="I41" i="10"/>
  <c r="M40" i="10"/>
  <c r="S40" i="10" s="1"/>
  <c r="I40" i="10"/>
  <c r="I39" i="10"/>
  <c r="M39" i="10" s="1"/>
  <c r="S39" i="10" s="1"/>
  <c r="I38" i="10"/>
  <c r="M38" i="10" s="1"/>
  <c r="S38" i="10" s="1"/>
  <c r="S37" i="10"/>
  <c r="M37" i="10"/>
  <c r="I37" i="10"/>
  <c r="M36" i="10"/>
  <c r="S36" i="10" s="1"/>
  <c r="I36" i="10"/>
  <c r="I35" i="10"/>
  <c r="M35" i="10" s="1"/>
  <c r="S35" i="10" s="1"/>
  <c r="I34" i="10"/>
  <c r="M34" i="10" s="1"/>
  <c r="S34" i="10" s="1"/>
  <c r="S33" i="10"/>
  <c r="M33" i="10"/>
  <c r="I33" i="10"/>
  <c r="M32" i="10"/>
  <c r="S32" i="10" s="1"/>
  <c r="I32" i="10"/>
  <c r="I31" i="10"/>
  <c r="M31" i="10" s="1"/>
  <c r="S31" i="10" s="1"/>
  <c r="I30" i="10"/>
  <c r="M30" i="10" s="1"/>
  <c r="S30" i="10" s="1"/>
  <c r="S29" i="10"/>
  <c r="M29" i="10"/>
  <c r="I29" i="10"/>
  <c r="M28" i="10"/>
  <c r="S28" i="10" s="1"/>
  <c r="I28" i="10"/>
  <c r="I27" i="10"/>
  <c r="M27" i="10" s="1"/>
  <c r="S27" i="10" s="1"/>
  <c r="I26" i="10"/>
  <c r="M26" i="10" s="1"/>
  <c r="S26" i="10" s="1"/>
  <c r="S25" i="10"/>
  <c r="M25" i="10"/>
  <c r="I25" i="10"/>
  <c r="M24" i="10"/>
  <c r="S24" i="10" s="1"/>
  <c r="I24" i="10"/>
  <c r="I23" i="10"/>
  <c r="M23" i="10" s="1"/>
  <c r="S23" i="10" s="1"/>
  <c r="M22" i="10"/>
  <c r="S22" i="10" s="1"/>
  <c r="I22" i="10"/>
  <c r="I21" i="10"/>
  <c r="M21" i="10" s="1"/>
  <c r="S21" i="10" s="1"/>
  <c r="Q20" i="10"/>
  <c r="I20" i="10"/>
  <c r="M20" i="10" s="1"/>
  <c r="Q19" i="10"/>
  <c r="R19" i="10" s="1"/>
  <c r="T19" i="10" s="1"/>
  <c r="M19" i="10"/>
  <c r="I19" i="10"/>
  <c r="Q18" i="10"/>
  <c r="I18" i="10"/>
  <c r="M18" i="10" s="1"/>
  <c r="Q17" i="10"/>
  <c r="M17" i="10"/>
  <c r="I17" i="10"/>
  <c r="Q16" i="10"/>
  <c r="P16" i="10"/>
  <c r="O16" i="10"/>
  <c r="N16" i="10"/>
  <c r="L16" i="10"/>
  <c r="K16" i="10"/>
  <c r="J16" i="10"/>
  <c r="H16" i="10"/>
  <c r="G16" i="10"/>
  <c r="F16" i="10"/>
  <c r="E16" i="10"/>
  <c r="I16" i="10" s="1"/>
  <c r="M16" i="10" s="1"/>
  <c r="Q15" i="10"/>
  <c r="P15" i="10"/>
  <c r="O15" i="10"/>
  <c r="N15" i="10"/>
  <c r="L15" i="10"/>
  <c r="K15" i="10"/>
  <c r="J15" i="10"/>
  <c r="H15" i="10"/>
  <c r="G15" i="10"/>
  <c r="F15" i="10"/>
  <c r="E15" i="10"/>
  <c r="I15" i="10" s="1"/>
  <c r="M15" i="10" s="1"/>
  <c r="Q14" i="10"/>
  <c r="P14" i="10"/>
  <c r="O14" i="10"/>
  <c r="N14" i="10"/>
  <c r="L14" i="10"/>
  <c r="K14" i="10"/>
  <c r="J14" i="10"/>
  <c r="H14" i="10"/>
  <c r="G14" i="10"/>
  <c r="F14" i="10"/>
  <c r="E14" i="10"/>
  <c r="Q13" i="10"/>
  <c r="P13" i="10"/>
  <c r="O13" i="10"/>
  <c r="N13" i="10"/>
  <c r="L13" i="10"/>
  <c r="K13" i="10"/>
  <c r="J13" i="10"/>
  <c r="H13" i="10"/>
  <c r="G13" i="10"/>
  <c r="F13" i="10"/>
  <c r="E13" i="10"/>
  <c r="Q12" i="10"/>
  <c r="P12" i="10"/>
  <c r="O12" i="10"/>
  <c r="N12" i="10"/>
  <c r="L12" i="10"/>
  <c r="K12" i="10"/>
  <c r="J12" i="10"/>
  <c r="H12" i="10"/>
  <c r="G12" i="10"/>
  <c r="F12" i="10"/>
  <c r="E12" i="10"/>
  <c r="B8" i="9"/>
  <c r="J6" i="9"/>
  <c r="I6" i="9"/>
  <c r="J5" i="9"/>
  <c r="I5" i="9"/>
  <c r="J4" i="9"/>
  <c r="I4" i="9"/>
  <c r="B34" i="8"/>
  <c r="B20" i="8"/>
  <c r="F12" i="8"/>
  <c r="E12" i="8"/>
  <c r="H7" i="8"/>
  <c r="B7" i="8"/>
  <c r="G6" i="8"/>
  <c r="D6" i="8"/>
  <c r="C6" i="8"/>
  <c r="D5" i="8"/>
  <c r="C5" i="8"/>
  <c r="D4" i="8"/>
  <c r="C4" i="8"/>
  <c r="G4" i="8" s="1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C29" i="6"/>
  <c r="B29" i="6"/>
  <c r="E22" i="6"/>
  <c r="C37" i="11" s="1"/>
  <c r="C22" i="6"/>
  <c r="C36" i="11" s="1"/>
  <c r="K20" i="6"/>
  <c r="I20" i="6"/>
  <c r="J20" i="6" s="1"/>
  <c r="H20" i="6"/>
  <c r="K19" i="6"/>
  <c r="I19" i="6"/>
  <c r="J19" i="6" s="1"/>
  <c r="H19" i="6"/>
  <c r="K18" i="6"/>
  <c r="I18" i="6"/>
  <c r="J18" i="6" s="1"/>
  <c r="H18" i="6"/>
  <c r="K17" i="6"/>
  <c r="I17" i="6"/>
  <c r="J17" i="6" s="1"/>
  <c r="H17" i="6"/>
  <c r="K16" i="6"/>
  <c r="I16" i="6"/>
  <c r="H16" i="6"/>
  <c r="C13" i="6"/>
  <c r="B13" i="6"/>
  <c r="C7" i="6"/>
  <c r="B7" i="6"/>
  <c r="B32" i="5"/>
  <c r="B31" i="5"/>
  <c r="B30" i="5"/>
  <c r="B29" i="5"/>
  <c r="B28" i="5"/>
  <c r="B27" i="5"/>
  <c r="B26" i="5"/>
  <c r="B25" i="5"/>
  <c r="B24" i="5"/>
  <c r="G20" i="5"/>
  <c r="H20" i="5" s="1"/>
  <c r="F20" i="5"/>
  <c r="E20" i="5"/>
  <c r="D20" i="5"/>
  <c r="C20" i="5"/>
  <c r="B20" i="5"/>
  <c r="A20" i="5"/>
  <c r="G19" i="5"/>
  <c r="H19" i="5" s="1"/>
  <c r="F19" i="5"/>
  <c r="E19" i="5"/>
  <c r="D19" i="5"/>
  <c r="C19" i="5"/>
  <c r="B19" i="5"/>
  <c r="A19" i="5"/>
  <c r="G18" i="5"/>
  <c r="H18" i="5" s="1"/>
  <c r="F18" i="5"/>
  <c r="E18" i="5"/>
  <c r="D18" i="5"/>
  <c r="C18" i="5"/>
  <c r="B18" i="5"/>
  <c r="A18" i="5"/>
  <c r="G17" i="5"/>
  <c r="H17" i="5" s="1"/>
  <c r="F17" i="5"/>
  <c r="E17" i="5"/>
  <c r="D17" i="5"/>
  <c r="C17" i="5"/>
  <c r="B17" i="5"/>
  <c r="A17" i="5"/>
  <c r="G16" i="5"/>
  <c r="H16" i="5" s="1"/>
  <c r="F16" i="5"/>
  <c r="E16" i="5"/>
  <c r="D16" i="5"/>
  <c r="C16" i="5"/>
  <c r="B16" i="5"/>
  <c r="A16" i="5"/>
  <c r="B22" i="4"/>
  <c r="B21" i="4"/>
  <c r="B20" i="4"/>
  <c r="B19" i="4"/>
  <c r="B18" i="4"/>
  <c r="B17" i="4"/>
  <c r="B16" i="4"/>
  <c r="B15" i="4"/>
  <c r="B14" i="4"/>
  <c r="B13" i="4"/>
  <c r="B24" i="3"/>
  <c r="B23" i="3"/>
  <c r="C17" i="3"/>
  <c r="D17" i="3" s="1"/>
  <c r="C16" i="3"/>
  <c r="C15" i="3"/>
  <c r="C14" i="3"/>
  <c r="D13" i="3"/>
  <c r="C13" i="3"/>
  <c r="B13" i="3"/>
  <c r="C12" i="3"/>
  <c r="D12" i="3" s="1"/>
  <c r="B12" i="3"/>
  <c r="D11" i="3"/>
  <c r="D10" i="3"/>
  <c r="D9" i="3"/>
  <c r="D8" i="3"/>
  <c r="D7" i="3"/>
  <c r="D6" i="3"/>
  <c r="D5" i="3"/>
  <c r="D4" i="3"/>
  <c r="C15" i="2"/>
  <c r="C14" i="2"/>
  <c r="C13" i="2"/>
  <c r="E9" i="2"/>
  <c r="D9" i="2"/>
  <c r="H9" i="2" s="1"/>
  <c r="E8" i="2"/>
  <c r="D8" i="2"/>
  <c r="H8" i="2" s="1"/>
  <c r="E7" i="2"/>
  <c r="H7" i="2" s="1"/>
  <c r="D7" i="2"/>
  <c r="E6" i="2"/>
  <c r="D6" i="2"/>
  <c r="H6" i="2" s="1"/>
  <c r="E5" i="2"/>
  <c r="D5" i="2"/>
  <c r="H5" i="2" s="1"/>
  <c r="H4" i="2"/>
  <c r="D4" i="2"/>
  <c r="B34" i="11" l="1"/>
  <c r="D34" i="11" s="1"/>
  <c r="D12" i="11"/>
  <c r="B29" i="11"/>
  <c r="D29" i="11" s="1"/>
  <c r="B35" i="11"/>
  <c r="D35" i="11" s="1"/>
  <c r="I14" i="10"/>
  <c r="M14" i="10" s="1"/>
  <c r="R17" i="10"/>
  <c r="T17" i="10" s="1"/>
  <c r="U17" i="10" s="1"/>
  <c r="D16" i="11"/>
  <c r="B28" i="11"/>
  <c r="D28" i="11" s="1"/>
  <c r="I13" i="10"/>
  <c r="M13" i="10" s="1"/>
  <c r="B30" i="11"/>
  <c r="D30" i="11" s="1"/>
  <c r="D20" i="11"/>
  <c r="R16" i="10"/>
  <c r="T16" i="10" s="1"/>
  <c r="R14" i="10"/>
  <c r="T14" i="10" s="1"/>
  <c r="S14" i="10"/>
  <c r="B26" i="11"/>
  <c r="D26" i="11" s="1"/>
  <c r="B22" i="11"/>
  <c r="D22" i="11" s="1"/>
  <c r="I12" i="10"/>
  <c r="B36" i="11"/>
  <c r="D36" i="11" s="1"/>
  <c r="B37" i="11"/>
  <c r="D37" i="11" s="1"/>
  <c r="S17" i="10"/>
  <c r="R18" i="10"/>
  <c r="S18" i="10" s="1"/>
  <c r="B23" i="11"/>
  <c r="D23" i="11" s="1"/>
  <c r="B24" i="11"/>
  <c r="D24" i="11" s="1"/>
  <c r="B31" i="11"/>
  <c r="D31" i="11" s="1"/>
  <c r="S19" i="10"/>
  <c r="U19" i="10" s="1"/>
  <c r="R20" i="10"/>
  <c r="S20" i="10" s="1"/>
  <c r="G5" i="8"/>
  <c r="B32" i="11"/>
  <c r="D32" i="11" s="1"/>
  <c r="B33" i="11"/>
  <c r="D33" i="11" s="1"/>
  <c r="R13" i="10"/>
  <c r="T13" i="10" s="1"/>
  <c r="R15" i="10"/>
  <c r="S15" i="10" s="1"/>
  <c r="R21" i="10"/>
  <c r="T21" i="10"/>
  <c r="U21" i="10" s="1"/>
  <c r="T22" i="10"/>
  <c r="U22" i="10" s="1"/>
  <c r="R22" i="10"/>
  <c r="R23" i="10"/>
  <c r="T23" i="10"/>
  <c r="U23" i="10" s="1"/>
  <c r="T24" i="10"/>
  <c r="U24" i="10" s="1"/>
  <c r="R24" i="10"/>
  <c r="R25" i="10"/>
  <c r="T25" i="10"/>
  <c r="U25" i="10" s="1"/>
  <c r="T26" i="10"/>
  <c r="U26" i="10" s="1"/>
  <c r="R26" i="10"/>
  <c r="R27" i="10"/>
  <c r="T27" i="10"/>
  <c r="U27" i="10" s="1"/>
  <c r="T28" i="10"/>
  <c r="U28" i="10" s="1"/>
  <c r="R28" i="10"/>
  <c r="R29" i="10"/>
  <c r="T29" i="10"/>
  <c r="U29" i="10" s="1"/>
  <c r="T30" i="10"/>
  <c r="U30" i="10" s="1"/>
  <c r="R30" i="10"/>
  <c r="R31" i="10"/>
  <c r="T31" i="10"/>
  <c r="U31" i="10" s="1"/>
  <c r="T32" i="10"/>
  <c r="U32" i="10" s="1"/>
  <c r="R32" i="10"/>
  <c r="R33" i="10"/>
  <c r="T33" i="10"/>
  <c r="U33" i="10" s="1"/>
  <c r="T34" i="10"/>
  <c r="U34" i="10" s="1"/>
  <c r="R34" i="10"/>
  <c r="R35" i="10"/>
  <c r="T35" i="10"/>
  <c r="U35" i="10" s="1"/>
  <c r="T36" i="10"/>
  <c r="U36" i="10" s="1"/>
  <c r="R36" i="10"/>
  <c r="R37" i="10"/>
  <c r="T37" i="10"/>
  <c r="U37" i="10" s="1"/>
  <c r="T38" i="10"/>
  <c r="U38" i="10" s="1"/>
  <c r="R38" i="10"/>
  <c r="R39" i="10"/>
  <c r="T39" i="10"/>
  <c r="U39" i="10" s="1"/>
  <c r="T40" i="10"/>
  <c r="U40" i="10" s="1"/>
  <c r="R40" i="10"/>
  <c r="R41" i="10"/>
  <c r="T41" i="10"/>
  <c r="U41" i="10" s="1"/>
  <c r="T42" i="10"/>
  <c r="U42" i="10" s="1"/>
  <c r="R42" i="10"/>
  <c r="R43" i="10"/>
  <c r="T43" i="10"/>
  <c r="U43" i="10" s="1"/>
  <c r="T44" i="10"/>
  <c r="U44" i="10" s="1"/>
  <c r="R44" i="10"/>
  <c r="R45" i="10"/>
  <c r="T45" i="10"/>
  <c r="U45" i="10" s="1"/>
  <c r="T46" i="10"/>
  <c r="U46" i="10" s="1"/>
  <c r="R46" i="10"/>
  <c r="R47" i="10"/>
  <c r="T47" i="10"/>
  <c r="U47" i="10" s="1"/>
  <c r="T48" i="10"/>
  <c r="U48" i="10" s="1"/>
  <c r="R48" i="10"/>
  <c r="R49" i="10"/>
  <c r="T49" i="10"/>
  <c r="U49" i="10" s="1"/>
  <c r="T50" i="10"/>
  <c r="U50" i="10" s="1"/>
  <c r="R50" i="10"/>
  <c r="R51" i="10"/>
  <c r="T51" i="10"/>
  <c r="U51" i="10" s="1"/>
  <c r="T52" i="10"/>
  <c r="U52" i="10" s="1"/>
  <c r="R52" i="10"/>
  <c r="R53" i="10"/>
  <c r="T53" i="10"/>
  <c r="U53" i="10" s="1"/>
  <c r="T54" i="10"/>
  <c r="U54" i="10" s="1"/>
  <c r="R54" i="10"/>
  <c r="R55" i="10"/>
  <c r="T55" i="10"/>
  <c r="U55" i="10" s="1"/>
  <c r="T56" i="10"/>
  <c r="U56" i="10" s="1"/>
  <c r="R56" i="10"/>
  <c r="R57" i="10"/>
  <c r="T57" i="10"/>
  <c r="U57" i="10" s="1"/>
  <c r="T58" i="10"/>
  <c r="U58" i="10" s="1"/>
  <c r="R58" i="10"/>
  <c r="R59" i="10"/>
  <c r="T59" i="10"/>
  <c r="U59" i="10" s="1"/>
  <c r="D10" i="11"/>
  <c r="B27" i="11"/>
  <c r="D27" i="11" s="1"/>
  <c r="B25" i="11"/>
  <c r="D25" i="11" s="1"/>
  <c r="T20" i="10" l="1"/>
  <c r="U20" i="10" s="1"/>
  <c r="U13" i="10"/>
  <c r="T18" i="10"/>
  <c r="U18" i="10" s="1"/>
  <c r="S16" i="10"/>
  <c r="U16" i="10" s="1"/>
  <c r="S13" i="10"/>
  <c r="B38" i="11"/>
  <c r="D38" i="11" s="1"/>
  <c r="U14" i="10"/>
  <c r="B6" i="11"/>
  <c r="D6" i="11" s="1"/>
  <c r="M12" i="10"/>
  <c r="T15" i="10"/>
  <c r="U15" i="10" s="1"/>
  <c r="R12" i="10" l="1"/>
  <c r="T12" i="10" s="1"/>
  <c r="B7" i="11"/>
  <c r="D7" i="11" s="1"/>
  <c r="B9" i="11" l="1"/>
  <c r="D9" i="11" s="1"/>
  <c r="S12" i="10"/>
  <c r="B8" i="11" l="1"/>
  <c r="D8" i="11" s="1"/>
  <c r="D41" i="11" s="1"/>
  <c r="B39" i="11"/>
  <c r="D39" i="11" s="1"/>
  <c r="U12" i="10"/>
</calcChain>
</file>

<file path=xl/sharedStrings.xml><?xml version="1.0" encoding="utf-8"?>
<sst xmlns="http://schemas.openxmlformats.org/spreadsheetml/2006/main" count="768" uniqueCount="558">
  <si>
    <t>DFT</t>
  </si>
  <si>
    <t>Green</t>
  </si>
  <si>
    <t>Normalization</t>
  </si>
  <si>
    <t>Stage</t>
  </si>
  <si>
    <t>Stage name</t>
  </si>
  <si>
    <t>Candidate pathways (n)</t>
  </si>
  <si>
    <t>Cumulative retention (calc)</t>
  </si>
  <si>
    <t>Retention from previous stage (calc)</t>
  </si>
  <si>
    <t>Cumulative retention (paper)</t>
  </si>
  <si>
    <t>Retention from previous (paper)</t>
  </si>
  <si>
    <t>Check</t>
  </si>
  <si>
    <t>Primary evaluation criterion</t>
  </si>
  <si>
    <t>AI-generated retrosynthetic pathways</t>
  </si>
  <si>
    <t>—</t>
  </si>
  <si>
    <t>Transformer prediction</t>
  </si>
  <si>
    <t>Chemical plausibility filtering</t>
  </si>
  <si>
    <t>Rule-based feasibility</t>
  </si>
  <si>
    <t>DFT mechanistic evaluation</t>
  </si>
  <si>
    <t>ΔG‡, HOMO–LUMO, Fukui index</t>
  </si>
  <si>
    <t>Green chemistry screening</t>
  </si>
  <si>
    <t>Atom economy, PMI, E-factor</t>
  </si>
  <si>
    <t>Multi-objective ranking</t>
  </si>
  <si>
    <t>Composite pathway score</t>
  </si>
  <si>
    <t>Final selected pathway</t>
  </si>
  <si>
    <t>Highest integrated score</t>
  </si>
  <si>
    <t>Derived statements in the text</t>
  </si>
  <si>
    <t>Statement</t>
  </si>
  <si>
    <t>Calculated</t>
  </si>
  <si>
    <t>Paper</t>
  </si>
  <si>
    <t>Note</t>
  </si>
  <si>
    <t>Pathways filtered out by plausibility step (fraction of 48)</t>
  </si>
  <si>
    <t>Results section: "35.4% of the initial pathways were filtered out"</t>
  </si>
  <si>
    <t>Fraction of the 31 plausible routes remaining after DFT</t>
  </si>
  <si>
    <t>Paper says DFT "narrowed down the number of candidates by half"</t>
  </si>
  <si>
    <t>DFT workload reduction vs. initial 48</t>
  </si>
  <si>
    <t>Paper: "decreasing the amount of DFT computations to about 63%" — 62.5% is the REDUCTION; the remaining share is 37.5%</t>
  </si>
  <si>
    <t>Metric</t>
  </si>
  <si>
    <t>Before filtering</t>
  </si>
  <si>
    <t>After filtering</t>
  </si>
  <si>
    <t>Change (calc)</t>
  </si>
  <si>
    <t>Source / note</t>
  </si>
  <si>
    <t>Pathways (n)</t>
  </si>
  <si>
    <t>Fig. 7B table; Table 15</t>
  </si>
  <si>
    <t>Mean confidence</t>
  </si>
  <si>
    <t>Fig. 7A/B; text "from 0.79 to 0.84"</t>
  </si>
  <si>
    <t>Median confidence</t>
  </si>
  <si>
    <t>Fig. 7B summary statistics</t>
  </si>
  <si>
    <t>Standard deviation</t>
  </si>
  <si>
    <t>Fig. 7B</t>
  </si>
  <si>
    <t>Minimum confidence</t>
  </si>
  <si>
    <t>Fig. 7B (after = 0.65). Text/Table 15 give 0.61–0.97 for the retained set — see Inconsistencies</t>
  </si>
  <si>
    <t>Maximum confidence</t>
  </si>
  <si>
    <t>Pathways with confidence &gt; 0.80 (n)</t>
  </si>
  <si>
    <t>Fig. 7A/B; Table 15 (22)</t>
  </si>
  <si>
    <t>Pathways with confidence ≤ 0.80 (n)</t>
  </si>
  <si>
    <t>Fig. 7B boxplot sample sizes</t>
  </si>
  <si>
    <t>% of pathways with confidence &gt; 0.80</t>
  </si>
  <si>
    <t>Paper: 58.3% → 71.0%, change +12.7% (paper subtracts the rounded values; unrounded difference is 12.6 points)</t>
  </si>
  <si>
    <t>Check: n(&gt;0.80)+n(≤0.80) = total</t>
  </si>
  <si>
    <t>Consistency of reconstructed sub-group counts</t>
  </si>
  <si>
    <t>Retention rate</t>
  </si>
  <si>
    <t>Paper: 64.6%</t>
  </si>
  <si>
    <t>Pathways removed (total)</t>
  </si>
  <si>
    <t>48 − 31</t>
  </si>
  <si>
    <t>…of which low-confidence (≤0.80)</t>
  </si>
  <si>
    <t>Derived</t>
  </si>
  <si>
    <t>…of which high-confidence (&gt;0.80)</t>
  </si>
  <si>
    <t>Table 15 / computing details</t>
  </si>
  <si>
    <t>Value</t>
  </si>
  <si>
    <t>Initial candidate pathways</t>
  </si>
  <si>
    <t>Table 15</t>
  </si>
  <si>
    <t>Pathways retained after filtering</t>
  </si>
  <si>
    <t>Mean confidence ± SD (retained)</t>
  </si>
  <si>
    <t>Table 15: 0.84 ± 0.08</t>
  </si>
  <si>
    <t>SD of confidence (retained)</t>
  </si>
  <si>
    <t>Confidence range – min (Table 15)</t>
  </si>
  <si>
    <t>Table 15 / text</t>
  </si>
  <si>
    <t>Confidence range – max (Table 15)</t>
  </si>
  <si>
    <t>Average generation time (s)</t>
  </si>
  <si>
    <t>± 0.6 s; RTX 4090 GPU + Intel Core i9 CPU</t>
  </si>
  <si>
    <t>Generation time SD (s)</t>
  </si>
  <si>
    <t>Plausibility filtering time (s)</t>
  </si>
  <si>
    <t>&lt;1</t>
  </si>
  <si>
    <t>Beam size</t>
  </si>
  <si>
    <t>Integrated framework section</t>
  </si>
  <si>
    <t>Cross-validation folds</t>
  </si>
  <si>
    <t>Five-fold CV (internal validation)</t>
  </si>
  <si>
    <t>Mann-Whitney U (Fig. 7B)</t>
  </si>
  <si>
    <t>All pathways: p&lt;0.01 (**); conf ≤0.80: p&lt;0.001 (***); conf &gt;0.80: ns</t>
  </si>
  <si>
    <t>Pathway</t>
  </si>
  <si>
    <t>ΔG‡ (kcal/mol)</t>
  </si>
  <si>
    <t>HOMO–LUMO gap (eV)</t>
  </si>
  <si>
    <t>Fukui index f⁺</t>
  </si>
  <si>
    <t>ΔGrxn (kcal/mol)</t>
  </si>
  <si>
    <t>Decision</t>
  </si>
  <si>
    <t>Route A</t>
  </si>
  <si>
    <t>Rejected</t>
  </si>
  <si>
    <t>Route B</t>
  </si>
  <si>
    <t>Retained</t>
  </si>
  <si>
    <t>Route C</t>
  </si>
  <si>
    <t>Selected</t>
  </si>
  <si>
    <t>Route D</t>
  </si>
  <si>
    <t>Route E</t>
  </si>
  <si>
    <t>Statistic</t>
  </si>
  <si>
    <t>Min ΔG‡ (kcal/mol)</t>
  </si>
  <si>
    <t>Paper range 18.6–33.8 for the 18 routes</t>
  </si>
  <si>
    <t>Max ΔG‡ (kcal/mol)</t>
  </si>
  <si>
    <t>Min HOMO–LUMO gap (eV)</t>
  </si>
  <si>
    <t>Paper range 4.28–5.61 eV</t>
  </si>
  <si>
    <t>Max HOMO–LUMO gap (eV)</t>
  </si>
  <si>
    <t>Pearson r (gap vs ΔG‡)</t>
  </si>
  <si>
    <t>Fig. 8A reports r = −0.91 ("inverse"). The 5 published points give a POSITIVE r — see Inconsistencies</t>
  </si>
  <si>
    <t>R² (gap vs ΔG‡)</t>
  </si>
  <si>
    <t>Fig. 8A reports R² = 0.82</t>
  </si>
  <si>
    <t>Route D vs E: relative difference in f⁺</t>
  </si>
  <si>
    <t>Paper: "almost 20% different"</t>
  </si>
  <si>
    <t>Route D vs E: ΔG‡ difference (kcal/mol)</t>
  </si>
  <si>
    <t>Paper: both "about 22 kcal/mol"</t>
  </si>
  <si>
    <t>All ΔGrxn negative?</t>
  </si>
  <si>
    <t>Yes</t>
  </si>
  <si>
    <t>Paper: all reaction free energies negative</t>
  </si>
  <si>
    <t>Route with highest f⁺</t>
  </si>
  <si>
    <t>Paper: Route C, f⁺ = 0.34</t>
  </si>
  <si>
    <t>Atom economy (%)</t>
  </si>
  <si>
    <t>PMI</t>
  </si>
  <si>
    <t>E-factor</t>
  </si>
  <si>
    <t>Environmental rank (paper)</t>
  </si>
  <si>
    <t>Normalized sustainability score (Fig. 9B)</t>
  </si>
  <si>
    <t>Assumptions for reconstruction (not in the paper)</t>
  </si>
  <si>
    <t>Ibuprofen MW (g/mol)</t>
  </si>
  <si>
    <t>Standard molar mass of ibuprofen C13H18O2; used only to invert Eq. (1)</t>
  </si>
  <si>
    <t>Product mass basis (kg)</t>
  </si>
  <si>
    <t>PMI and E-factor are per kg of isolated product (Eq. 2–3)</t>
  </si>
  <si>
    <t>Back-calculated ΣMW reactants (g/mol) = MW product / AE</t>
  </si>
  <si>
    <t>Check: AE recomputed from Eq. (1) (%)</t>
  </si>
  <si>
    <t>Total input mass (kg) = PMI × basis</t>
  </si>
  <si>
    <t>Waste mass (kg) = E-factor × basis</t>
  </si>
  <si>
    <t>PMI − E-factor (equals 1 for a closed mass balance)</t>
  </si>
  <si>
    <t>Rank by Fig. 9B score (calc)</t>
  </si>
  <si>
    <t>Rank matches paper?</t>
  </si>
  <si>
    <t>Statement in text</t>
  </si>
  <si>
    <t>Waste reduction Route A → Route C (E-factor)</t>
  </si>
  <si>
    <t>Paper: "almost 60%"</t>
  </si>
  <si>
    <t>PMI of Route A ÷ PMI of Route C</t>
  </si>
  <si>
    <t>Paper: Route A "needed over double the amount of material" — true only vs. Route C (see also ÷B, ÷D, ÷E below)</t>
  </si>
  <si>
    <t>PMI Route A ÷ Route B</t>
  </si>
  <si>
    <t>PMI Route A ÷ Route D</t>
  </si>
  <si>
    <t>PMI Route A ÷ Route E</t>
  </si>
  <si>
    <t>Atom economy range – max (%)</t>
  </si>
  <si>
    <t>Case/Route C</t>
  </si>
  <si>
    <t>Atom economy range – min (%)</t>
  </si>
  <si>
    <t>PMI range – min</t>
  </si>
  <si>
    <t>Paper: 16.8–38.4</t>
  </si>
  <si>
    <t>PMI range – max</t>
  </si>
  <si>
    <t>Criterion</t>
  </si>
  <si>
    <t>Weight</t>
  </si>
  <si>
    <t>Justification (Table 13)</t>
  </si>
  <si>
    <t>AI-assisted retrosynthetic prediction</t>
  </si>
  <si>
    <t>Synthetic accessibility and route confidence</t>
  </si>
  <si>
    <t>Quantum chemical evaluation</t>
  </si>
  <si>
    <t>Mechanistic feasibility and electronic reactivity</t>
  </si>
  <si>
    <t>Green chemistry assessment</t>
  </si>
  <si>
    <t>Environmental sustainability and material efficiency</t>
  </si>
  <si>
    <t>Sum of weights (Σw = 1)</t>
  </si>
  <si>
    <t>Green descriptor (Table 11)</t>
  </si>
  <si>
    <t>Atom economy</t>
  </si>
  <si>
    <t>Process mass intensity</t>
  </si>
  <si>
    <t>Sum (must equal green weight)</t>
  </si>
  <si>
    <t>Rank</t>
  </si>
  <si>
    <t>S reported (Table 18)</t>
  </si>
  <si>
    <t>AI score</t>
  </si>
  <si>
    <t>Quantum score</t>
  </si>
  <si>
    <t>Green score</t>
  </si>
  <si>
    <t>Final decision</t>
  </si>
  <si>
    <t>S recomputed (Eq. 7)</t>
  </si>
  <si>
    <t>Reported − recomputed</t>
  </si>
  <si>
    <t>Matches within ±0.005?</t>
  </si>
  <si>
    <t>Green score that would reproduce reported S (given AI &amp; Quantum)</t>
  </si>
  <si>
    <t>Range of S (reported)</t>
  </si>
  <si>
    <t>min</t>
  </si>
  <si>
    <t>max</t>
  </si>
  <si>
    <t>Paper: 0.41 to 0.94</t>
  </si>
  <si>
    <t>Contribution to final composite score (Fig. 10B / variance decomposition)</t>
  </si>
  <si>
    <t>Share</t>
  </si>
  <si>
    <t>AI prediction (retrosynthetic confidence)</t>
  </si>
  <si>
    <t>Quantum-chemical descriptors</t>
  </si>
  <si>
    <t>Green chemistry metrics</t>
  </si>
  <si>
    <t>Sum</t>
  </si>
  <si>
    <t>Atom economy (benefit, Eq.5)</t>
  </si>
  <si>
    <t>PMI (cost, Eq.6)</t>
  </si>
  <si>
    <t>E-factor (cost, Eq.6)</t>
  </si>
  <si>
    <t>ΔG‡ (cost, Eq.6)</t>
  </si>
  <si>
    <t>HOMO–LUMO gap (cost, Eq.6)</t>
  </si>
  <si>
    <t>Fukui f⁺ (benefit, Eq.5)</t>
  </si>
  <si>
    <t>Weighting coefficient</t>
  </si>
  <si>
    <t>Baseline (Table 20 / Fig. 12)</t>
  </si>
  <si>
    <t>−10% (calc)</t>
  </si>
  <si>
    <t>+10% (calc)</t>
  </si>
  <si>
    <t>Range low (paper)</t>
  </si>
  <si>
    <t>Range high (paper)</t>
  </si>
  <si>
    <t>Match</t>
  </si>
  <si>
    <t>Weight in Table 10/13</t>
  </si>
  <si>
    <t>AI</t>
  </si>
  <si>
    <t>Quantum</t>
  </si>
  <si>
    <t>Green chemistry</t>
  </si>
  <si>
    <t>Outcome (Table 20)</t>
  </si>
  <si>
    <t>Baseline</t>
  </si>
  <si>
    <t>Range low</t>
  </si>
  <si>
    <t>Range high</t>
  </si>
  <si>
    <t>Calc low</t>
  </si>
  <si>
    <t>Calc high</t>
  </si>
  <si>
    <t>Spearman's ρ</t>
  </si>
  <si>
    <t>Fig. 12B: mean 0.96 ± 0.015 over 20 LHS scenarios, min 0.93, max 0.98</t>
  </si>
  <si>
    <t>Composite score Route C</t>
  </si>
  <si>
    <t>Reconstruction: range = baseline ± SD (0.94 ± 0.018) reproduces 0.922–0.958</t>
  </si>
  <si>
    <t>Average score SD (Route C, 20 LHS sets)</t>
  </si>
  <si>
    <t>Spearman SD (Fig. 12B)</t>
  </si>
  <si>
    <t>Number of LHS weight sets</t>
  </si>
  <si>
    <t>PCA (Fig. 5A)</t>
  </si>
  <si>
    <t>Explained variance</t>
  </si>
  <si>
    <t>PC1</t>
  </si>
  <si>
    <t>PC2</t>
  </si>
  <si>
    <t>PC1 + PC2</t>
  </si>
  <si>
    <t>Fig. 5B: Spearman rank correlation (approx., read from bars)</t>
  </si>
  <si>
    <t>−10%</t>
  </si>
  <si>
    <t>+10%</t>
  </si>
  <si>
    <t>AI (0.30)</t>
  </si>
  <si>
    <t>Quantum (0.30)</t>
  </si>
  <si>
    <t>Green (0.40)</t>
  </si>
  <si>
    <t>Fig. 12A composite scores (approx., read from figure labels)</t>
  </si>
  <si>
    <t>Green −10% (AI +5%, Q +5%)</t>
  </si>
  <si>
    <t>AI −10% (Green +5%, Q +5%)</t>
  </si>
  <si>
    <t>Baseline (0.25/0.35/0.40)</t>
  </si>
  <si>
    <t>Quantum −10% (AI +5%, Green +5%)</t>
  </si>
  <si>
    <t>All +10%*</t>
  </si>
  <si>
    <t>Rank order of Route C is first in every scenario</t>
  </si>
  <si>
    <t>API</t>
  </si>
  <si>
    <t>Initial pathways</t>
  </si>
  <si>
    <t>Final pathway</t>
  </si>
  <si>
    <t>Composite score</t>
  </si>
  <si>
    <t>PMI − E-factor</t>
  </si>
  <si>
    <t>Back-calc. ΣMW reactants per MW product</t>
  </si>
  <si>
    <t>Ibuprofen</t>
  </si>
  <si>
    <t>Naproxen</t>
  </si>
  <si>
    <t>Paracetamol</t>
  </si>
  <si>
    <t>Check vs other sheets (ibuprofen)</t>
  </si>
  <si>
    <t>Other facts</t>
  </si>
  <si>
    <t>AI path generation time per compound</t>
  </si>
  <si>
    <t>&lt; 5 s</t>
  </si>
  <si>
    <t>Text</t>
  </si>
  <si>
    <t>DFT share of total computation time</t>
  </si>
  <si>
    <t>Reduction in DFT computations (text)</t>
  </si>
  <si>
    <t>Text: "about 63%" — see Funnel sheet</t>
  </si>
  <si>
    <t>Same framework/weights used for all APIs</t>
  </si>
  <si>
    <t>No re-tuning</t>
  </si>
  <si>
    <t>Note: column J is derived (100/AE) — it equals ΣMW reactants ÷ MW product implied by the atom-economy value.</t>
  </si>
  <si>
    <t>Screening thresholds (assumptions)</t>
  </si>
  <si>
    <t>DFT filter: max ΔG‡ (kcal/mol)</t>
  </si>
  <si>
    <t>Assumed cut-off; paper only reports that survivors span 18.6–33.8</t>
  </si>
  <si>
    <t>DFT filter: max HOMO–LUMO gap (eV)</t>
  </si>
  <si>
    <t>Assumed cut-off; survivors span 4.28–5.61</t>
  </si>
  <si>
    <t>Green filter: min atom economy (%)</t>
  </si>
  <si>
    <t>Assumed cut-off; retained routes span 58.4–87.3</t>
  </si>
  <si>
    <t>Green filter: max PMI</t>
  </si>
  <si>
    <t>Assumed cut-off; retained routes span 16.8–38.4</t>
  </si>
  <si>
    <t>Green filter: max E-factor</t>
  </si>
  <si>
    <t>Assumed cut-off; retained routes span 12.6–31.2</t>
  </si>
  <si>
    <t>Pathway ID</t>
  </si>
  <si>
    <t>Route label (paper)</t>
  </si>
  <si>
    <t>AI confidence</t>
  </si>
  <si>
    <t>Passed plausibility filter (1/0)</t>
  </si>
  <si>
    <t>Fukui f⁺</t>
  </si>
  <si>
    <t>Passed DFT stage (calc)</t>
  </si>
  <si>
    <t>Passed green screening (calc)</t>
  </si>
  <si>
    <t>AI score (normalized)</t>
  </si>
  <si>
    <t>Quantum score (normalized)</t>
  </si>
  <si>
    <t>Green score (normalized)</t>
  </si>
  <si>
    <t>Composite S</t>
  </si>
  <si>
    <t>Rank among 9 green survivors</t>
  </si>
  <si>
    <t>In top 3 (calc)</t>
  </si>
  <si>
    <t>Final selected (calc)</t>
  </si>
  <si>
    <t>Furthest stage reached</t>
  </si>
  <si>
    <t>P01</t>
  </si>
  <si>
    <t>P02</t>
  </si>
  <si>
    <t>P03</t>
  </si>
  <si>
    <t>P04</t>
  </si>
  <si>
    <t>P05</t>
  </si>
  <si>
    <t>P06</t>
  </si>
  <si>
    <t>Route F</t>
  </si>
  <si>
    <t>P07</t>
  </si>
  <si>
    <t>Route G</t>
  </si>
  <si>
    <t>P08</t>
  </si>
  <si>
    <t>Route H</t>
  </si>
  <si>
    <t>P09</t>
  </si>
  <si>
    <t>Route I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</si>
  <si>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</si>
  <si>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</si>
  <si>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</si>
  <si>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</si>
  <si>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</si>
  <si>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</si>
  <si>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</si>
  <si>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</si>
  <si>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</si>
  <si>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</si>
  <si>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</si>
  <si>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</si>
  <si>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</si>
  <si>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</si>
  <si>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</si>
  <si>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</si>
  <si>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</si>
  <si>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</si>
  <si>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</si>
  <si>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</si>
  <si>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</si>
  <si>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</si>
  <si>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</si>
  <si>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</si>
  <si>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</si>
  <si>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</si>
  <si>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</si>
  <si>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</si>
  <si>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</si>
  <si>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</si>
  <si>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</si>
  <si>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</si>
  <si>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</si>
  <si>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</si>
  <si>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</si>
  <si>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</si>
  <si>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</si>
  <si>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</si>
  <si>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</si>
  <si>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Notes</t>
  </si>
  <si>
    <t>Recomputed from Pathways_48</t>
  </si>
  <si>
    <t>Paper value</t>
  </si>
  <si>
    <t>Match (rounded to 2 decimals)</t>
  </si>
  <si>
    <t>Paper source</t>
  </si>
  <si>
    <t>Pathways generated by AI</t>
  </si>
  <si>
    <t>Table 14</t>
  </si>
  <si>
    <t>Pathways after plausibility filter</t>
  </si>
  <si>
    <t>Pathways after DFT stage</t>
  </si>
  <si>
    <t>Pathways after green screening</t>
  </si>
  <si>
    <t>Pathways in top ranking group</t>
  </si>
  <si>
    <t>Final selected pathways</t>
  </si>
  <si>
    <t>AI confidence BEFORE filtering – mean</t>
  </si>
  <si>
    <t>AI confidence BEFORE – median</t>
  </si>
  <si>
    <t>AI confidence BEFORE – SD (sample)</t>
  </si>
  <si>
    <t>AI confidence BEFORE – min</t>
  </si>
  <si>
    <t>AI confidence BEFORE – max</t>
  </si>
  <si>
    <t>Pathways with confidence &gt; 0.80 BEFORE</t>
  </si>
  <si>
    <t>AI confidence AFTER filtering – mean</t>
  </si>
  <si>
    <t>Table 15 / Fig. 7B</t>
  </si>
  <si>
    <t>AI confidence AFTER – median</t>
  </si>
  <si>
    <t>AI confidence AFTER – SD (sample)</t>
  </si>
  <si>
    <t>AI confidence AFTER – min</t>
  </si>
  <si>
    <t>Fig. 7B (Table 15 text says 0.61)</t>
  </si>
  <si>
    <t>AI confidence AFTER – max</t>
  </si>
  <si>
    <t>Pathways with confidence &gt; 0.80 AFTER</t>
  </si>
  <si>
    <t>DFT survivors – min ΔG‡ (kcal/mol)</t>
  </si>
  <si>
    <t>Results: 18.6–33.8</t>
  </si>
  <si>
    <t>DFT survivors – max ΔG‡ (kcal/mol)</t>
  </si>
  <si>
    <t>DFT survivors – min HOMO–LUMO gap (eV)</t>
  </si>
  <si>
    <t>Results: 4.28–5.61</t>
  </si>
  <si>
    <t>DFT survivors – max HOMO–LUMO gap (eV)</t>
  </si>
  <si>
    <t>DFT survivors – R² (gap vs ΔG‡)</t>
  </si>
  <si>
    <t>Fig. 8A</t>
  </si>
  <si>
    <t>DFT survivors – |Pearson r| (gap vs ΔG‡)</t>
  </si>
  <si>
    <t>Fig. 8A (paper prints r = −0.91; reconstructed data have r &gt; 0, see Inconsistencies)</t>
  </si>
  <si>
    <t>DFT survivors – all ΔGrxn negative?</t>
  </si>
  <si>
    <t>Results</t>
  </si>
  <si>
    <t>Highest f⁺ among survivors</t>
  </si>
  <si>
    <t>Route C, 0.34</t>
  </si>
  <si>
    <t>Green survivors – max atom economy (%)</t>
  </si>
  <si>
    <t>Results: 87.3</t>
  </si>
  <si>
    <t>Green survivors – min atom economy (%)</t>
  </si>
  <si>
    <t>Results: 58.4</t>
  </si>
  <si>
    <t>Green survivors – min PMI</t>
  </si>
  <si>
    <t>Results: 16.8</t>
  </si>
  <si>
    <t>Green survivors – max PMI</t>
  </si>
  <si>
    <t>Results: 38.4</t>
  </si>
  <si>
    <t>Green survivors – min E-factor</t>
  </si>
  <si>
    <t>Route C: 12.6</t>
  </si>
  <si>
    <t>Green survivors – max E-factor</t>
  </si>
  <si>
    <t>Route A: 31.2</t>
  </si>
  <si>
    <t>Composite score – min of 9 routes</t>
  </si>
  <si>
    <t>Results: 0.41</t>
  </si>
  <si>
    <t>Composite score – max of 9 routes</t>
  </si>
  <si>
    <t>Results: 0.94</t>
  </si>
  <si>
    <t>Final selected route is Route C?</t>
  </si>
  <si>
    <t>Table 18</t>
  </si>
  <si>
    <t>Top-3 group is Routes C, D, B?</t>
  </si>
  <si>
    <t>Overall</t>
  </si>
  <si>
    <t>Table 1 – DFT protocol</t>
  </si>
  <si>
    <t>Computational parameter</t>
  </si>
  <si>
    <t>Description</t>
  </si>
  <si>
    <t>Electronic structure method</t>
  </si>
  <si>
    <t>Kohn–Sham Density Functional Theory (DFT)</t>
  </si>
  <si>
    <t>Exchange–correlation functional</t>
  </si>
  <si>
    <t>B3LYP hybrid functional</t>
  </si>
  <si>
    <t>Basis set</t>
  </si>
  <si>
    <t>6-31G(d)</t>
  </si>
  <si>
    <t>Geometry optimization</t>
  </si>
  <si>
    <t>Full geometry optimization without symmetry constraints</t>
  </si>
  <si>
    <t>Electronic descriptors calculated</t>
  </si>
  <si>
    <t>HOMO energy, LUMO energy, HOMO–LUMO gap (ΔEHL), condensed Fukui indices</t>
  </si>
  <si>
    <t>Primary objective</t>
  </si>
  <si>
    <t>Comparative evaluation of electronic reactivity among candidate synthetic pathways</t>
  </si>
  <si>
    <t>Role within the framework</t>
  </si>
  <si>
    <t>Descriptor generation for multi-objective pathway ranking</t>
  </si>
  <si>
    <t>Relative comparison</t>
  </si>
  <si>
    <t>All candidate pathways evaluated using an identical computational protocol</t>
  </si>
  <si>
    <t>Output used in subsequent analysis</t>
  </si>
  <si>
    <t>Descriptors integrated with AI-derived pathway predictions and green chemistry metrics</t>
  </si>
  <si>
    <t>Scope of interpretation</t>
  </si>
  <si>
    <t>Relative mechanistic assessment, not quantitative kinetics</t>
  </si>
  <si>
    <t>Table 2 – Quantum descriptors</t>
  </si>
  <si>
    <t>Descriptor</t>
  </si>
  <si>
    <t>Symbol</t>
  </si>
  <si>
    <t>Physical meaning</t>
  </si>
  <si>
    <t>Role in route ranking</t>
  </si>
  <si>
    <t>HOMO energy</t>
  </si>
  <si>
    <t>EHOMO</t>
  </si>
  <si>
    <t>Electron donation ability</t>
  </si>
  <si>
    <t>Reactivity assessment</t>
  </si>
  <si>
    <t>LUMO energy</t>
  </si>
  <si>
    <t>ELUMO</t>
  </si>
  <si>
    <t>Electron acceptance ability</t>
  </si>
  <si>
    <t>Electrophilic behavior</t>
  </si>
  <si>
    <t>HOMO–LUMO gap</t>
  </si>
  <si>
    <t>ΔEHL</t>
  </si>
  <si>
    <t>Electronic stability</t>
  </si>
  <si>
    <t>Relative reaction feasibility</t>
  </si>
  <si>
    <t>Fukui index (f⁺)</t>
  </si>
  <si>
    <t>f⁺</t>
  </si>
  <si>
    <t>Nucleophilic susceptibility</t>
  </si>
  <si>
    <t>Identification of reactive sites</t>
  </si>
  <si>
    <t>Fukui index (f⁻)</t>
  </si>
  <si>
    <t>f⁻</t>
  </si>
  <si>
    <t>Electrophilic susceptibility</t>
  </si>
  <si>
    <t>Chemical hardness</t>
  </si>
  <si>
    <t>η</t>
  </si>
  <si>
    <t>Resistance to charge transfer</t>
  </si>
  <si>
    <t>Molecular stability</t>
  </si>
  <si>
    <t>Chemical potential</t>
  </si>
  <si>
    <t>µ</t>
  </si>
  <si>
    <t>Electron escaping tendency</t>
  </si>
  <si>
    <t>Electronic characterization</t>
  </si>
  <si>
    <t>Electrophilicity index</t>
  </si>
  <si>
    <t>ω</t>
  </si>
  <si>
    <t>Global electrophilic character</t>
  </si>
  <si>
    <t>Pathway prioritization</t>
  </si>
  <si>
    <t>Table 3 – Green chemistry metrics</t>
  </si>
  <si>
    <t>Definition</t>
  </si>
  <si>
    <t>Interpretation</t>
  </si>
  <si>
    <t>Optimization objective</t>
  </si>
  <si>
    <t>Fraction of reactant atoms incorporated into the product</t>
  </si>
  <si>
    <t>Higher = more efficient atom utilization</t>
  </si>
  <si>
    <t>Maximize</t>
  </si>
  <si>
    <t>Mass of waste generated per unit product</t>
  </si>
  <si>
    <t>Lower = reduced waste</t>
  </si>
  <si>
    <t>Minimize</t>
  </si>
  <si>
    <t>Process mass intensity (PMI)</t>
  </si>
  <si>
    <t>Total material input divided by product mass</t>
  </si>
  <si>
    <t>Lower = greater material efficiency</t>
  </si>
  <si>
    <t>Reaction mass efficiency</t>
  </si>
  <si>
    <t>Product mass relative to reactant mass</t>
  </si>
  <si>
    <t>Higher = improved process efficiency</t>
  </si>
  <si>
    <t>Table 4 – AI module configuration</t>
  </si>
  <si>
    <t>Component</t>
  </si>
  <si>
    <t>Molecular representation</t>
  </si>
  <si>
    <t>Canonical SMILES</t>
  </si>
  <si>
    <t>Prediction strategy</t>
  </si>
  <si>
    <t>Transformer-based retrosynthesis</t>
  </si>
  <si>
    <t>Search strategy</t>
  </si>
  <si>
    <t>Beam Search</t>
  </si>
  <si>
    <t>Output</t>
  </si>
  <si>
    <t>Candidate pathways</t>
  </si>
  <si>
    <t>Confidence</t>
  </si>
  <si>
    <t>Relative ranking</t>
  </si>
  <si>
    <t>Role</t>
  </si>
  <si>
    <t>Hypothesis generation</t>
  </si>
  <si>
    <t>Table 5 – Workflow stages</t>
  </si>
  <si>
    <t>Input</t>
  </si>
  <si>
    <t>Target molecule</t>
  </si>
  <si>
    <t>Candidate routes</t>
  </si>
  <si>
    <t>Structures</t>
  </si>
  <si>
    <t>Electronic descriptors</t>
  </si>
  <si>
    <t>Stoichiometry</t>
  </si>
  <si>
    <t>Sustainability metrics</t>
  </si>
  <si>
    <t>Ranking</t>
  </si>
  <si>
    <t>All descriptors</t>
  </si>
  <si>
    <t>Best pathway</t>
  </si>
  <si>
    <t>Table 6 – Composite score variables</t>
  </si>
  <si>
    <t>Variable</t>
  </si>
  <si>
    <t>Objective</t>
  </si>
  <si>
    <t>CAI</t>
  </si>
  <si>
    <t>Max</t>
  </si>
  <si>
    <t>HOMO-LUMO</t>
  </si>
  <si>
    <t>ΔE</t>
  </si>
  <si>
    <t>Min</t>
  </si>
  <si>
    <t>Fukui</t>
  </si>
  <si>
    <t>f</t>
  </si>
  <si>
    <t>AE</t>
  </si>
  <si>
    <t>EF</t>
  </si>
  <si>
    <t>Table 7 – Model limitations</t>
  </si>
  <si>
    <t>Limitation</t>
  </si>
  <si>
    <t>Impact</t>
  </si>
  <si>
    <t>Mitigation</t>
  </si>
  <si>
    <t>No explicit solvent</t>
  </si>
  <si>
    <t>Medium</t>
  </si>
  <si>
    <t>Future work</t>
  </si>
  <si>
    <t>No TS search</t>
  </si>
  <si>
    <t>Relative comparison only</t>
  </si>
  <si>
    <t>No catalyst modeling</t>
  </si>
  <si>
    <t>Single case study</t>
  </si>
  <si>
    <t>High</t>
  </si>
  <si>
    <t>External validation</t>
  </si>
  <si>
    <t>Table 8 – Comparison with previous studies (✓ yes / ✗ no)</t>
  </si>
  <si>
    <t>Study</t>
  </si>
  <si>
    <t>Green metrics</t>
  </si>
  <si>
    <t>Multi-objective</t>
  </si>
  <si>
    <t>Route ranking</t>
  </si>
  <si>
    <t>Study A</t>
  </si>
  <si>
    <t>✓</t>
  </si>
  <si>
    <t>✗</t>
  </si>
  <si>
    <t>Study B</t>
  </si>
  <si>
    <t>Study C</t>
  </si>
  <si>
    <t>This work</t>
  </si>
  <si>
    <t>Table 12 – Decision criteria</t>
  </si>
  <si>
    <t>Category</t>
  </si>
  <si>
    <t>AI prediction</t>
  </si>
  <si>
    <t>Retrosynthetic confidence</t>
  </si>
  <si>
    <t>Beneficial</t>
  </si>
  <si>
    <t>Reaction probability</t>
  </si>
  <si>
    <t>Quantum chemistry</t>
  </si>
  <si>
    <t>Activation free energy (ΔG‡)</t>
  </si>
  <si>
    <t>Cost</t>
  </si>
  <si>
    <t>Fukui index</t>
  </si>
  <si>
    <t>Equations used in the paper</t>
  </si>
  <si>
    <t>Eq.</t>
  </si>
  <si>
    <t>Formula</t>
  </si>
  <si>
    <t>(1)</t>
  </si>
  <si>
    <t>AE (%) = MW(desired product) / Σ MW(reactants) × 100</t>
  </si>
  <si>
    <t>(2)</t>
  </si>
  <si>
    <t>PMI = total mass of all input materials / mass of isolated product</t>
  </si>
  <si>
    <t>(3)</t>
  </si>
  <si>
    <t>E = total waste generated / mass of isolated product</t>
  </si>
  <si>
    <t>(4)</t>
  </si>
  <si>
    <t>X_norm = (X − X_min)/(X_max − X_min)</t>
  </si>
  <si>
    <t>(5)</t>
  </si>
  <si>
    <t>Beneficial: x* = (x − x_min)/(x_max − x_min)</t>
  </si>
  <si>
    <t>(6)</t>
  </si>
  <si>
    <t>Cost: x* = (x_max − x)/(x_max − x_min)</t>
  </si>
  <si>
    <t>(7)</t>
  </si>
  <si>
    <t>S = Σ w_i · x*_i, with Σ w_i = 1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</si>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</sst>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"/>
    <numFmt numFmtId="166" formatCode="0.000"/>
    <numFmt numFmtId="167" formatCode="0.0#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2" fillId="0" borderId="0" xfId="0" applyFont="1" applyAlignment="1"/>
    <xf numFmtId="165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3" fillId="0" borderId="0" xfId="0" applyFont="1" applyAlignment="1"/>
    <xf numFmtId="2" fontId="4" fillId="3" borderId="1" xfId="0" applyNumberFormat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165" fontId="5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zoomScaleNormal="100" workbookViewId="0"/>
  </sheetViews>
  <sheetFormatPr defaultColWidth="8.7109375" defaultRowHeight="15" x14ac:dyDescent="0.25"/>
  <cols>
    <col min="1" max="1" width="7" style="2" customWidth="1"/>
    <col min="2" max="2" width="52" style="2" customWidth="1"/>
    <col min="3" max="4" width="16" style="2" customWidth="1"/>
    <col min="5" max="5" width="20" style="2" customWidth="1"/>
    <col min="6" max="6" width="16" style="2" customWidth="1"/>
    <col min="7" max="7" width="18" style="2" customWidth="1"/>
    <col min="8" max="8" width="10" style="2" customWidth="1"/>
    <col min="9" max="9" width="34" style="2" customWidth="1"/>
  </cols>
  <sheetData>
    <row r="1" spans="1:9" ht="17.25" customHeight="1" x14ac:dyDescent="0.25">
      <c r="A1" s="3"/>
    </row>
    <row r="3" spans="1:9" ht="42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ht="15" customHeight="1" x14ac:dyDescent="0.25">
      <c r="A4" s="5">
        <v>1</v>
      </c>
      <c r="B4" s="6" t="s">
        <v>12</v>
      </c>
      <c r="C4" s="5">
        <v>48</v>
      </c>
      <c r="D4" s="7">
        <f t="shared" ref="D4:D9" si="0">C4/$C$4</f>
        <v>1</v>
      </c>
      <c r="E4" s="6" t="s">
        <v>13</v>
      </c>
      <c r="F4" s="8">
        <v>1</v>
      </c>
      <c r="G4" s="6" t="s">
        <v>13</v>
      </c>
      <c r="H4" s="6" t="str">
        <f>IF(ROUND(D4,3)=F4,"OK","CHECK")</f>
        <v>OK</v>
      </c>
      <c r="I4" s="6" t="s">
        <v>14</v>
      </c>
    </row>
    <row r="5" spans="1:9" ht="15" customHeight="1" x14ac:dyDescent="0.25">
      <c r="A5" s="5">
        <v>2</v>
      </c>
      <c r="B5" s="6" t="s">
        <v>15</v>
      </c>
      <c r="C5" s="5">
        <v>31</v>
      </c>
      <c r="D5" s="7">
        <f t="shared" si="0"/>
        <v>0.64583333333333337</v>
      </c>
      <c r="E5" s="7">
        <f>C5/C4</f>
        <v>0.64583333333333337</v>
      </c>
      <c r="F5" s="8">
        <v>0.64600000000000002</v>
      </c>
      <c r="G5" s="8">
        <v>0.64600000000000002</v>
      </c>
      <c r="H5" s="6" t="str">
        <f>IF(AND(ROUND(D5,3)=F5,ROUND(E5,3)=G5),"OK","CHECK")</f>
        <v>OK</v>
      </c>
      <c r="I5" s="6" t="s">
        <v>16</v>
      </c>
    </row>
    <row r="6" spans="1:9" ht="15" customHeight="1" x14ac:dyDescent="0.25">
      <c r="A6" s="5">
        <v>3</v>
      </c>
      <c r="B6" s="6" t="s">
        <v>17</v>
      </c>
      <c r="C6" s="5">
        <v>18</v>
      </c>
      <c r="D6" s="7">
        <f t="shared" si="0"/>
        <v>0.375</v>
      </c>
      <c r="E6" s="7">
        <f>C6/C5</f>
        <v>0.58064516129032262</v>
      </c>
      <c r="F6" s="8">
        <v>0.375</v>
      </c>
      <c r="G6" s="8">
        <v>0.58099999999999996</v>
      </c>
      <c r="H6" s="6" t="str">
        <f>IF(AND(ROUND(D6,3)=F6,ROUND(E6,3)=G6),"OK","CHECK")</f>
        <v>OK</v>
      </c>
      <c r="I6" s="6" t="s">
        <v>18</v>
      </c>
    </row>
    <row r="7" spans="1:9" ht="15" customHeight="1" x14ac:dyDescent="0.25">
      <c r="A7" s="5">
        <v>4</v>
      </c>
      <c r="B7" s="6" t="s">
        <v>19</v>
      </c>
      <c r="C7" s="5">
        <v>9</v>
      </c>
      <c r="D7" s="7">
        <f t="shared" si="0"/>
        <v>0.1875</v>
      </c>
      <c r="E7" s="7">
        <f>C7/C6</f>
        <v>0.5</v>
      </c>
      <c r="F7" s="8">
        <v>0.188</v>
      </c>
      <c r="G7" s="8">
        <v>0.5</v>
      </c>
      <c r="H7" s="6" t="str">
        <f>IF(AND(ROUND(D7,3)=F7,ROUND(E7,3)=G7),"OK","CHECK")</f>
        <v>OK</v>
      </c>
      <c r="I7" s="6" t="s">
        <v>20</v>
      </c>
    </row>
    <row r="8" spans="1:9" ht="15" customHeight="1" x14ac:dyDescent="0.25">
      <c r="A8" s="5">
        <v>5</v>
      </c>
      <c r="B8" s="6" t="s">
        <v>21</v>
      </c>
      <c r="C8" s="5">
        <v>3</v>
      </c>
      <c r="D8" s="7">
        <f t="shared" si="0"/>
        <v>6.25E-2</v>
      </c>
      <c r="E8" s="7">
        <f>C8/C7</f>
        <v>0.33333333333333331</v>
      </c>
      <c r="F8" s="8">
        <v>6.3E-2</v>
      </c>
      <c r="G8" s="8">
        <v>0.33300000000000002</v>
      </c>
      <c r="H8" s="6" t="str">
        <f>IF(AND(ROUND(D8,3)=F8,ROUND(E8,3)=G8),"OK","CHECK")</f>
        <v>OK</v>
      </c>
      <c r="I8" s="6" t="s">
        <v>22</v>
      </c>
    </row>
    <row r="9" spans="1:9" ht="15" customHeight="1" x14ac:dyDescent="0.25">
      <c r="A9" s="5">
        <v>6</v>
      </c>
      <c r="B9" s="6" t="s">
        <v>23</v>
      </c>
      <c r="C9" s="5">
        <v>1</v>
      </c>
      <c r="D9" s="7">
        <f t="shared" si="0"/>
        <v>2.0833333333333332E-2</v>
      </c>
      <c r="E9" s="7">
        <f>C9/C8</f>
        <v>0.33333333333333331</v>
      </c>
      <c r="F9" s="8">
        <v>2.1000000000000001E-2</v>
      </c>
      <c r="G9" s="8">
        <v>0.33300000000000002</v>
      </c>
      <c r="H9" s="6" t="str">
        <f>IF(AND(ROUND(D9,3)=F9,ROUND(E9,3)=G9),"OK","CHECK")</f>
        <v>OK</v>
      </c>
      <c r="I9" s="6" t="s">
        <v>24</v>
      </c>
    </row>
    <row r="11" spans="1:9" ht="15" customHeight="1" x14ac:dyDescent="0.25">
      <c r="B11" s="9" t="s">
        <v>25</v>
      </c>
    </row>
    <row r="12" spans="1:9" ht="42" customHeight="1" x14ac:dyDescent="0.25">
      <c r="A12" s="4"/>
      <c r="B12" s="4" t="s">
        <v>26</v>
      </c>
      <c r="C12" s="4" t="s">
        <v>27</v>
      </c>
      <c r="D12" s="4" t="s">
        <v>28</v>
      </c>
      <c r="E12" s="4" t="s">
        <v>29</v>
      </c>
    </row>
    <row r="13" spans="1:9" ht="34.5" customHeight="1" x14ac:dyDescent="0.25">
      <c r="B13" s="6" t="s">
        <v>30</v>
      </c>
      <c r="C13" s="7">
        <f>1-C5/C4</f>
        <v>0.35416666666666663</v>
      </c>
      <c r="D13" s="8">
        <v>0.35399999999999998</v>
      </c>
      <c r="E13" s="6" t="s">
        <v>31</v>
      </c>
    </row>
    <row r="14" spans="1:9" ht="45.75" customHeight="1" x14ac:dyDescent="0.25">
      <c r="B14" s="6" t="s">
        <v>32</v>
      </c>
      <c r="C14" s="7">
        <f>C6/C5</f>
        <v>0.58064516129032262</v>
      </c>
      <c r="D14" s="8">
        <v>0.58099999999999996</v>
      </c>
      <c r="E14" s="6" t="s">
        <v>33</v>
      </c>
    </row>
    <row r="15" spans="1:9" ht="79.5" customHeight="1" x14ac:dyDescent="0.25">
      <c r="B15" s="6" t="s">
        <v>34</v>
      </c>
      <c r="C15" s="7">
        <f>1-C6/C4</f>
        <v>0.625</v>
      </c>
      <c r="D15" s="10">
        <v>0.63</v>
      </c>
      <c r="E15" s="6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zoomScaleNormal="100" workbookViewId="0"/>
  </sheetViews>
  <sheetFormatPr defaultColWidth="8.7109375" defaultRowHeight="15" x14ac:dyDescent="0.25"/>
  <cols>
    <col min="1" max="1" width="44" style="2" customWidth="1"/>
    <col min="2" max="2" width="18" style="2" customWidth="1"/>
    <col min="3" max="3" width="16" style="2" customWidth="1"/>
    <col min="4" max="4" width="14" style="2" customWidth="1"/>
    <col min="5" max="5" width="70" style="2" customWidth="1"/>
  </cols>
  <sheetData>
    <row r="1" spans="1:5" ht="17.25" customHeight="1" x14ac:dyDescent="0.25">
      <c r="A1" s="3"/>
    </row>
    <row r="3" spans="1:5" ht="42" customHeight="1" x14ac:dyDescent="0.25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</row>
    <row r="4" spans="1:5" ht="15" customHeight="1" x14ac:dyDescent="0.25">
      <c r="A4" s="6" t="s">
        <v>41</v>
      </c>
      <c r="B4" s="5">
        <v>48</v>
      </c>
      <c r="C4" s="5">
        <v>31</v>
      </c>
      <c r="D4" s="11">
        <f t="shared" ref="D4:D12" si="0">C4-B4</f>
        <v>-17</v>
      </c>
      <c r="E4" s="6" t="s">
        <v>42</v>
      </c>
    </row>
    <row r="5" spans="1:5" ht="15" customHeight="1" x14ac:dyDescent="0.25">
      <c r="A5" s="6" t="s">
        <v>43</v>
      </c>
      <c r="B5" s="12">
        <v>0.79</v>
      </c>
      <c r="C5" s="12">
        <v>0.84</v>
      </c>
      <c r="D5" s="13">
        <f t="shared" si="0"/>
        <v>4.9999999999999933E-2</v>
      </c>
      <c r="E5" s="6" t="s">
        <v>44</v>
      </c>
    </row>
    <row r="6" spans="1:5" ht="15" customHeight="1" x14ac:dyDescent="0.25">
      <c r="A6" s="6" t="s">
        <v>45</v>
      </c>
      <c r="B6" s="12">
        <v>0.81</v>
      </c>
      <c r="C6" s="12">
        <v>0.85</v>
      </c>
      <c r="D6" s="13">
        <f t="shared" si="0"/>
        <v>3.9999999999999925E-2</v>
      </c>
      <c r="E6" s="6" t="s">
        <v>46</v>
      </c>
    </row>
    <row r="7" spans="1:5" ht="15" customHeight="1" x14ac:dyDescent="0.25">
      <c r="A7" s="6" t="s">
        <v>47</v>
      </c>
      <c r="B7" s="12">
        <v>0.11</v>
      </c>
      <c r="C7" s="12">
        <v>0.08</v>
      </c>
      <c r="D7" s="13">
        <f t="shared" si="0"/>
        <v>-0.03</v>
      </c>
      <c r="E7" s="6" t="s">
        <v>48</v>
      </c>
    </row>
    <row r="8" spans="1:5" ht="23.25" customHeight="1" x14ac:dyDescent="0.25">
      <c r="A8" s="6" t="s">
        <v>49</v>
      </c>
      <c r="B8" s="12">
        <v>0.61</v>
      </c>
      <c r="C8" s="12">
        <v>0.65</v>
      </c>
      <c r="D8" s="13">
        <f t="shared" si="0"/>
        <v>4.0000000000000036E-2</v>
      </c>
      <c r="E8" s="6" t="s">
        <v>50</v>
      </c>
    </row>
    <row r="9" spans="1:5" ht="15" customHeight="1" x14ac:dyDescent="0.25">
      <c r="A9" s="6" t="s">
        <v>51</v>
      </c>
      <c r="B9" s="12">
        <v>0.97</v>
      </c>
      <c r="C9" s="12">
        <v>0.97</v>
      </c>
      <c r="D9" s="13">
        <f t="shared" si="0"/>
        <v>0</v>
      </c>
      <c r="E9" s="6" t="s">
        <v>48</v>
      </c>
    </row>
    <row r="10" spans="1:5" ht="15" customHeight="1" x14ac:dyDescent="0.25">
      <c r="A10" s="6" t="s">
        <v>52</v>
      </c>
      <c r="B10" s="5">
        <v>28</v>
      </c>
      <c r="C10" s="5">
        <v>22</v>
      </c>
      <c r="D10" s="11">
        <f t="shared" si="0"/>
        <v>-6</v>
      </c>
      <c r="E10" s="6" t="s">
        <v>53</v>
      </c>
    </row>
    <row r="11" spans="1:5" ht="15" customHeight="1" x14ac:dyDescent="0.25">
      <c r="A11" s="6" t="s">
        <v>54</v>
      </c>
      <c r="B11" s="5">
        <v>20</v>
      </c>
      <c r="C11" s="5">
        <v>9</v>
      </c>
      <c r="D11" s="11">
        <f t="shared" si="0"/>
        <v>-11</v>
      </c>
      <c r="E11" s="6" t="s">
        <v>55</v>
      </c>
    </row>
    <row r="12" spans="1:5" ht="23.25" customHeight="1" x14ac:dyDescent="0.25">
      <c r="A12" s="6" t="s">
        <v>56</v>
      </c>
      <c r="B12" s="7">
        <f>B10/B4</f>
        <v>0.58333333333333337</v>
      </c>
      <c r="C12" s="7">
        <f>C10/C4</f>
        <v>0.70967741935483875</v>
      </c>
      <c r="D12" s="7">
        <f t="shared" si="0"/>
        <v>0.12634408602150538</v>
      </c>
      <c r="E12" s="6" t="s">
        <v>57</v>
      </c>
    </row>
    <row r="13" spans="1:5" ht="15" customHeight="1" x14ac:dyDescent="0.25">
      <c r="A13" s="6" t="s">
        <v>58</v>
      </c>
      <c r="B13" s="6">
        <f>B10+B11</f>
        <v>48</v>
      </c>
      <c r="C13" s="6">
        <f>C10+C11</f>
        <v>31</v>
      </c>
      <c r="D13" s="6" t="str">
        <f>IF(AND(B13=B4,C13=C4),"OK","CHECK")</f>
        <v>OK</v>
      </c>
      <c r="E13" s="6" t="s">
        <v>59</v>
      </c>
    </row>
    <row r="14" spans="1:5" ht="15" customHeight="1" x14ac:dyDescent="0.25">
      <c r="A14" s="6" t="s">
        <v>60</v>
      </c>
      <c r="C14" s="7">
        <f>C4/B4</f>
        <v>0.64583333333333337</v>
      </c>
      <c r="E14" s="6" t="s">
        <v>61</v>
      </c>
    </row>
    <row r="15" spans="1:5" ht="15" customHeight="1" x14ac:dyDescent="0.25">
      <c r="A15" s="6" t="s">
        <v>62</v>
      </c>
      <c r="C15" s="6">
        <f>B4-C4</f>
        <v>17</v>
      </c>
      <c r="E15" s="6" t="s">
        <v>63</v>
      </c>
    </row>
    <row r="16" spans="1:5" ht="15" customHeight="1" x14ac:dyDescent="0.25">
      <c r="A16" s="6" t="s">
        <v>64</v>
      </c>
      <c r="C16" s="6">
        <f>B11-C11</f>
        <v>11</v>
      </c>
      <c r="E16" s="6" t="s">
        <v>65</v>
      </c>
    </row>
    <row r="17" spans="1:5" ht="15" customHeight="1" x14ac:dyDescent="0.25">
      <c r="A17" s="6" t="s">
        <v>66</v>
      </c>
      <c r="C17" s="6">
        <f>B10-C10</f>
        <v>6</v>
      </c>
      <c r="D17" s="6" t="str">
        <f>IF(C16+C17=C15,"OK","CHECK")</f>
        <v>OK</v>
      </c>
      <c r="E17" s="6" t="s">
        <v>65</v>
      </c>
    </row>
    <row r="19" spans="1:5" ht="15" customHeight="1" x14ac:dyDescent="0.25">
      <c r="A19" s="9" t="s">
        <v>67</v>
      </c>
    </row>
    <row r="20" spans="1:5" ht="42" customHeight="1" x14ac:dyDescent="0.25">
      <c r="A20" s="4" t="s">
        <v>36</v>
      </c>
      <c r="B20" s="4" t="s">
        <v>68</v>
      </c>
      <c r="C20" s="4"/>
      <c r="D20" s="4"/>
      <c r="E20" s="4" t="s">
        <v>40</v>
      </c>
    </row>
    <row r="21" spans="1:5" ht="15" customHeight="1" x14ac:dyDescent="0.25">
      <c r="A21" s="6" t="s">
        <v>69</v>
      </c>
      <c r="B21" s="5">
        <v>48</v>
      </c>
      <c r="E21" s="6" t="s">
        <v>70</v>
      </c>
    </row>
    <row r="22" spans="1:5" ht="15" customHeight="1" x14ac:dyDescent="0.25">
      <c r="A22" s="6" t="s">
        <v>71</v>
      </c>
      <c r="B22" s="5">
        <v>31</v>
      </c>
      <c r="E22" s="6" t="s">
        <v>70</v>
      </c>
    </row>
    <row r="23" spans="1:5" ht="15" customHeight="1" x14ac:dyDescent="0.25">
      <c r="A23" s="6" t="s">
        <v>72</v>
      </c>
      <c r="B23" s="13">
        <f>C5</f>
        <v>0.84</v>
      </c>
      <c r="E23" s="6" t="s">
        <v>73</v>
      </c>
    </row>
    <row r="24" spans="1:5" ht="15" customHeight="1" x14ac:dyDescent="0.25">
      <c r="A24" s="6" t="s">
        <v>74</v>
      </c>
      <c r="B24" s="13">
        <f>C7</f>
        <v>0.08</v>
      </c>
      <c r="E24" s="6" t="s">
        <v>70</v>
      </c>
    </row>
    <row r="25" spans="1:5" ht="15" customHeight="1" x14ac:dyDescent="0.25">
      <c r="A25" s="6" t="s">
        <v>75</v>
      </c>
      <c r="B25" s="12">
        <v>0.61</v>
      </c>
      <c r="E25" s="6" t="s">
        <v>76</v>
      </c>
    </row>
    <row r="26" spans="1:5" ht="15" customHeight="1" x14ac:dyDescent="0.25">
      <c r="A26" s="6" t="s">
        <v>77</v>
      </c>
      <c r="B26" s="12">
        <v>0.97</v>
      </c>
      <c r="E26" s="6" t="s">
        <v>76</v>
      </c>
    </row>
    <row r="27" spans="1:5" ht="15" customHeight="1" x14ac:dyDescent="0.25">
      <c r="A27" s="6" t="s">
        <v>78</v>
      </c>
      <c r="B27" s="14">
        <v>4.8</v>
      </c>
      <c r="E27" s="6" t="s">
        <v>79</v>
      </c>
    </row>
    <row r="28" spans="1:5" ht="15" customHeight="1" x14ac:dyDescent="0.25">
      <c r="A28" s="6" t="s">
        <v>80</v>
      </c>
      <c r="B28" s="14">
        <v>0.6</v>
      </c>
      <c r="E28" s="6" t="s">
        <v>70</v>
      </c>
    </row>
    <row r="29" spans="1:5" ht="15" customHeight="1" x14ac:dyDescent="0.25">
      <c r="A29" s="6" t="s">
        <v>81</v>
      </c>
      <c r="B29" s="5" t="s">
        <v>82</v>
      </c>
      <c r="E29" s="6" t="s">
        <v>70</v>
      </c>
    </row>
    <row r="30" spans="1:5" ht="15" customHeight="1" x14ac:dyDescent="0.25">
      <c r="A30" s="6" t="s">
        <v>83</v>
      </c>
      <c r="B30" s="5">
        <v>10</v>
      </c>
      <c r="E30" s="6" t="s">
        <v>84</v>
      </c>
    </row>
    <row r="31" spans="1:5" ht="15" customHeight="1" x14ac:dyDescent="0.25">
      <c r="A31" s="6" t="s">
        <v>85</v>
      </c>
      <c r="B31" s="5">
        <v>5</v>
      </c>
      <c r="E31" s="6" t="s">
        <v>86</v>
      </c>
    </row>
    <row r="32" spans="1:5" ht="45.75" customHeight="1" x14ac:dyDescent="0.25">
      <c r="A32" s="6" t="s">
        <v>87</v>
      </c>
      <c r="B32" s="5" t="s">
        <v>88</v>
      </c>
      <c r="E32" s="6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opLeftCell="A19" zoomScaleNormal="100" workbookViewId="0">
      <selection activeCell="A2" sqref="A2"/>
    </sheetView>
  </sheetViews>
  <sheetFormatPr defaultColWidth="8.7109375" defaultRowHeight="15" x14ac:dyDescent="0.25"/>
  <cols>
    <col min="1" max="1" width="42" style="2" customWidth="1"/>
    <col min="2" max="2" width="18" style="2" customWidth="1"/>
    <col min="3" max="3" width="20" style="2" customWidth="1"/>
    <col min="4" max="4" width="70" style="2" customWidth="1"/>
    <col min="5" max="5" width="18" style="2" customWidth="1"/>
    <col min="6" max="6" width="12" style="2" customWidth="1"/>
  </cols>
  <sheetData>
    <row r="1" spans="1:6" ht="17.25" customHeight="1" x14ac:dyDescent="0.25">
      <c r="A1" s="3"/>
    </row>
    <row r="2" spans="1:6" ht="15" customHeight="1" x14ac:dyDescent="0.25">
      <c r="A2" s="15"/>
    </row>
    <row r="4" spans="1:6" ht="42" customHeight="1" x14ac:dyDescent="0.25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</row>
    <row r="5" spans="1:6" ht="15" customHeight="1" x14ac:dyDescent="0.25">
      <c r="A5" s="9" t="s">
        <v>95</v>
      </c>
      <c r="B5" s="14">
        <v>33.799999999999997</v>
      </c>
      <c r="C5" s="12">
        <v>5.61</v>
      </c>
      <c r="D5" s="12">
        <v>0.21</v>
      </c>
      <c r="E5" s="14">
        <v>-8.1999999999999993</v>
      </c>
      <c r="F5" s="5" t="s">
        <v>96</v>
      </c>
    </row>
    <row r="6" spans="1:6" ht="15" customHeight="1" x14ac:dyDescent="0.25">
      <c r="A6" s="9" t="s">
        <v>97</v>
      </c>
      <c r="B6" s="14">
        <v>25.4</v>
      </c>
      <c r="C6" s="12">
        <v>4.93</v>
      </c>
      <c r="D6" s="12">
        <v>0.28000000000000003</v>
      </c>
      <c r="E6" s="14">
        <v>-12.5</v>
      </c>
      <c r="F6" s="5" t="s">
        <v>98</v>
      </c>
    </row>
    <row r="7" spans="1:6" ht="15" customHeight="1" x14ac:dyDescent="0.25">
      <c r="A7" s="9" t="s">
        <v>99</v>
      </c>
      <c r="B7" s="14">
        <v>18.600000000000001</v>
      </c>
      <c r="C7" s="12">
        <v>4.28</v>
      </c>
      <c r="D7" s="12">
        <v>0.34</v>
      </c>
      <c r="E7" s="14">
        <v>-18.100000000000001</v>
      </c>
      <c r="F7" s="5" t="s">
        <v>100</v>
      </c>
    </row>
    <row r="8" spans="1:6" ht="15" customHeight="1" x14ac:dyDescent="0.25">
      <c r="A8" s="9" t="s">
        <v>101</v>
      </c>
      <c r="B8" s="14">
        <v>22.1</v>
      </c>
      <c r="C8" s="12">
        <v>4.54</v>
      </c>
      <c r="D8" s="12">
        <v>0.3</v>
      </c>
      <c r="E8" s="14">
        <v>-15.7</v>
      </c>
      <c r="F8" s="5" t="s">
        <v>98</v>
      </c>
    </row>
    <row r="9" spans="1:6" ht="15" customHeight="1" x14ac:dyDescent="0.25">
      <c r="A9" s="9" t="s">
        <v>102</v>
      </c>
      <c r="B9" s="14">
        <v>22.7</v>
      </c>
      <c r="C9" s="12">
        <v>4.5999999999999996</v>
      </c>
      <c r="D9" s="12">
        <v>0.25</v>
      </c>
      <c r="E9" s="14">
        <v>-14.8</v>
      </c>
      <c r="F9" s="5" t="s">
        <v>98</v>
      </c>
    </row>
    <row r="12" spans="1:6" ht="42" customHeight="1" x14ac:dyDescent="0.25">
      <c r="A12" s="4" t="s">
        <v>103</v>
      </c>
      <c r="B12" s="4" t="s">
        <v>27</v>
      </c>
      <c r="C12" s="4" t="s">
        <v>28</v>
      </c>
      <c r="D12" s="4" t="s">
        <v>29</v>
      </c>
    </row>
    <row r="13" spans="1:6" ht="15" customHeight="1" x14ac:dyDescent="0.25">
      <c r="A13" s="6" t="s">
        <v>104</v>
      </c>
      <c r="B13" s="16">
        <f>MIN(B5:B9)</f>
        <v>18.600000000000001</v>
      </c>
      <c r="C13" s="14">
        <v>18.600000000000001</v>
      </c>
      <c r="D13" s="6" t="s">
        <v>105</v>
      </c>
    </row>
    <row r="14" spans="1:6" ht="15" customHeight="1" x14ac:dyDescent="0.25">
      <c r="A14" s="6" t="s">
        <v>106</v>
      </c>
      <c r="B14" s="16">
        <f>MAX(B5:B9)</f>
        <v>33.799999999999997</v>
      </c>
      <c r="C14" s="14">
        <v>33.799999999999997</v>
      </c>
      <c r="D14" s="6"/>
    </row>
    <row r="15" spans="1:6" ht="15" customHeight="1" x14ac:dyDescent="0.25">
      <c r="A15" s="6" t="s">
        <v>107</v>
      </c>
      <c r="B15" s="13">
        <f>MIN(C5:C9)</f>
        <v>4.28</v>
      </c>
      <c r="C15" s="12">
        <v>4.28</v>
      </c>
      <c r="D15" s="6" t="s">
        <v>108</v>
      </c>
    </row>
    <row r="16" spans="1:6" ht="15" customHeight="1" x14ac:dyDescent="0.25">
      <c r="A16" s="6" t="s">
        <v>109</v>
      </c>
      <c r="B16" s="13">
        <f>MAX(C5:C9)</f>
        <v>5.61</v>
      </c>
      <c r="C16" s="12">
        <v>5.61</v>
      </c>
      <c r="D16" s="6"/>
    </row>
    <row r="17" spans="1:4" ht="23.25" customHeight="1" x14ac:dyDescent="0.25">
      <c r="A17" s="6" t="s">
        <v>110</v>
      </c>
      <c r="B17" s="13">
        <f>CORREL(C5:C9,B5:B9)</f>
        <v>0.99710284198183219</v>
      </c>
      <c r="C17" s="12">
        <v>-0.91</v>
      </c>
      <c r="D17" s="6" t="s">
        <v>111</v>
      </c>
    </row>
    <row r="18" spans="1:4" ht="15" customHeight="1" x14ac:dyDescent="0.25">
      <c r="A18" s="6" t="s">
        <v>112</v>
      </c>
      <c r="B18" s="13">
        <f>RSQ(B5:B9,C5:C9)</f>
        <v>0.99421407748824686</v>
      </c>
      <c r="C18" s="12">
        <v>0.82</v>
      </c>
      <c r="D18" s="6" t="s">
        <v>113</v>
      </c>
    </row>
    <row r="19" spans="1:4" ht="15" customHeight="1" x14ac:dyDescent="0.25">
      <c r="A19" s="6" t="s">
        <v>114</v>
      </c>
      <c r="B19" s="17">
        <f>(D8-D9)/D9</f>
        <v>0.19999999999999996</v>
      </c>
      <c r="C19" s="10">
        <v>0.2</v>
      </c>
      <c r="D19" s="6" t="s">
        <v>115</v>
      </c>
    </row>
    <row r="20" spans="1:4" ht="15" customHeight="1" x14ac:dyDescent="0.25">
      <c r="A20" s="6" t="s">
        <v>116</v>
      </c>
      <c r="B20" s="16">
        <f>B8-B9</f>
        <v>-0.59999999999999787</v>
      </c>
      <c r="C20" s="6" t="s">
        <v>13</v>
      </c>
      <c r="D20" s="6" t="s">
        <v>117</v>
      </c>
    </row>
    <row r="21" spans="1:4" ht="15" customHeight="1" x14ac:dyDescent="0.25">
      <c r="A21" s="6" t="s">
        <v>118</v>
      </c>
      <c r="B21" s="6" t="str">
        <f>IF(MAX(E5:E9)&lt;0,"Yes","No")</f>
        <v>Yes</v>
      </c>
      <c r="C21" s="5" t="s">
        <v>119</v>
      </c>
      <c r="D21" s="6" t="s">
        <v>120</v>
      </c>
    </row>
    <row r="22" spans="1:4" ht="15" customHeight="1" x14ac:dyDescent="0.25">
      <c r="A22" s="6" t="s">
        <v>121</v>
      </c>
      <c r="B22" s="6" t="str">
        <f>INDEX(A5:A9,MATCH(MAX(D5:D9),D5:D9,0))</f>
        <v>Route C</v>
      </c>
      <c r="C22" s="5" t="s">
        <v>99</v>
      </c>
      <c r="D22" s="6" t="s">
        <v>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topLeftCell="A25" zoomScaleNormal="100" workbookViewId="0">
      <selection activeCell="A2" sqref="A2"/>
    </sheetView>
  </sheetViews>
  <sheetFormatPr defaultColWidth="8.7109375" defaultRowHeight="15" x14ac:dyDescent="0.25"/>
  <cols>
    <col min="1" max="1" width="44" style="2" customWidth="1"/>
    <col min="2" max="2" width="26" style="2" customWidth="1"/>
    <col min="3" max="7" width="22" style="2" customWidth="1"/>
    <col min="8" max="8" width="14" style="2" customWidth="1"/>
  </cols>
  <sheetData>
    <row r="1" spans="1:8" ht="17.25" customHeight="1" x14ac:dyDescent="0.25">
      <c r="A1" s="3"/>
    </row>
    <row r="3" spans="1:8" ht="42" customHeight="1" x14ac:dyDescent="0.25">
      <c r="A3" s="4" t="s">
        <v>89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94</v>
      </c>
      <c r="G3" s="4" t="s">
        <v>127</v>
      </c>
    </row>
    <row r="4" spans="1:8" ht="15" customHeight="1" x14ac:dyDescent="0.25">
      <c r="A4" s="9" t="s">
        <v>95</v>
      </c>
      <c r="B4" s="14">
        <v>58.4</v>
      </c>
      <c r="C4" s="14">
        <v>38.4</v>
      </c>
      <c r="D4" s="14">
        <v>31.2</v>
      </c>
      <c r="E4" s="5">
        <v>5</v>
      </c>
      <c r="F4" s="5" t="s">
        <v>96</v>
      </c>
      <c r="G4" s="12">
        <v>0.42</v>
      </c>
    </row>
    <row r="5" spans="1:8" ht="15" customHeight="1" x14ac:dyDescent="0.25">
      <c r="A5" s="9" t="s">
        <v>97</v>
      </c>
      <c r="B5" s="14">
        <v>74.8</v>
      </c>
      <c r="C5" s="14">
        <v>24.6</v>
      </c>
      <c r="D5" s="14">
        <v>18.899999999999999</v>
      </c>
      <c r="E5" s="5">
        <v>3</v>
      </c>
      <c r="F5" s="5" t="s">
        <v>98</v>
      </c>
      <c r="G5" s="12">
        <v>0.73</v>
      </c>
    </row>
    <row r="6" spans="1:8" ht="15" customHeight="1" x14ac:dyDescent="0.25">
      <c r="A6" s="9" t="s">
        <v>99</v>
      </c>
      <c r="B6" s="14">
        <v>87.3</v>
      </c>
      <c r="C6" s="14">
        <v>16.8</v>
      </c>
      <c r="D6" s="14">
        <v>12.6</v>
      </c>
      <c r="E6" s="5">
        <v>1</v>
      </c>
      <c r="F6" s="5" t="s">
        <v>100</v>
      </c>
      <c r="G6" s="12">
        <v>0.94</v>
      </c>
    </row>
    <row r="7" spans="1:8" ht="15" customHeight="1" x14ac:dyDescent="0.25">
      <c r="A7" s="9" t="s">
        <v>101</v>
      </c>
      <c r="B7" s="14">
        <v>79.5</v>
      </c>
      <c r="C7" s="14">
        <v>22.7</v>
      </c>
      <c r="D7" s="14">
        <v>16.8</v>
      </c>
      <c r="E7" s="5">
        <v>2</v>
      </c>
      <c r="F7" s="5" t="s">
        <v>98</v>
      </c>
      <c r="G7" s="12">
        <v>0.82</v>
      </c>
    </row>
    <row r="8" spans="1:8" ht="15" customHeight="1" x14ac:dyDescent="0.25">
      <c r="A8" s="9" t="s">
        <v>102</v>
      </c>
      <c r="B8" s="14">
        <v>72.900000000000006</v>
      </c>
      <c r="C8" s="14">
        <v>26.3</v>
      </c>
      <c r="D8" s="14">
        <v>20.5</v>
      </c>
      <c r="E8" s="5">
        <v>4</v>
      </c>
      <c r="F8" s="5" t="s">
        <v>98</v>
      </c>
      <c r="G8" s="12">
        <v>0.69</v>
      </c>
    </row>
    <row r="11" spans="1:8" ht="15" customHeight="1" x14ac:dyDescent="0.25">
      <c r="A11" s="9" t="s">
        <v>128</v>
      </c>
    </row>
    <row r="12" spans="1:8" ht="34.5" customHeight="1" x14ac:dyDescent="0.25">
      <c r="A12" s="6" t="s">
        <v>129</v>
      </c>
      <c r="B12" s="24">
        <v>206.29</v>
      </c>
      <c r="C12" s="6" t="s">
        <v>130</v>
      </c>
    </row>
    <row r="13" spans="1:8" ht="34.5" customHeight="1" x14ac:dyDescent="0.25">
      <c r="A13" s="6" t="s">
        <v>131</v>
      </c>
      <c r="B13" s="25">
        <v>1</v>
      </c>
      <c r="C13" s="6" t="s">
        <v>132</v>
      </c>
    </row>
    <row r="15" spans="1:8" ht="69.75" customHeight="1" x14ac:dyDescent="0.25">
      <c r="A15" s="4" t="s">
        <v>89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</row>
    <row r="16" spans="1:8" ht="15" customHeight="1" x14ac:dyDescent="0.25">
      <c r="A16" s="6" t="str">
        <f>A4</f>
        <v>Route A</v>
      </c>
      <c r="B16" s="26">
        <f>$B$12/(B4/100)</f>
        <v>353.23630136986304</v>
      </c>
      <c r="C16" s="16">
        <f>$B$12/B16*100</f>
        <v>58.4</v>
      </c>
      <c r="D16" s="16">
        <f t="shared" ref="D16:E20" si="0">C4*$B$13</f>
        <v>38.4</v>
      </c>
      <c r="E16" s="16">
        <f t="shared" si="0"/>
        <v>31.2</v>
      </c>
      <c r="F16" s="16">
        <f>C4-D4</f>
        <v>7.1999999999999993</v>
      </c>
      <c r="G16" s="6">
        <f>RANK(G4,$G$4:$G$8)</f>
        <v>5</v>
      </c>
      <c r="H16" s="6" t="str">
        <f>IF(G16=E4,"OK","CHECK")</f>
        <v>OK</v>
      </c>
    </row>
    <row r="17" spans="1:8" ht="15" customHeight="1" x14ac:dyDescent="0.25">
      <c r="A17" s="6" t="str">
        <f>A5</f>
        <v>Route B</v>
      </c>
      <c r="B17" s="26">
        <f>$B$12/(B5/100)</f>
        <v>275.7887700534759</v>
      </c>
      <c r="C17" s="16">
        <f>$B$12/B17*100</f>
        <v>74.800000000000011</v>
      </c>
      <c r="D17" s="16">
        <f t="shared" si="0"/>
        <v>24.6</v>
      </c>
      <c r="E17" s="16">
        <f t="shared" si="0"/>
        <v>18.899999999999999</v>
      </c>
      <c r="F17" s="16">
        <f>C5-D5</f>
        <v>5.7000000000000028</v>
      </c>
      <c r="G17" s="6">
        <f>RANK(G5,$G$4:$G$8)</f>
        <v>3</v>
      </c>
      <c r="H17" s="6" t="str">
        <f>IF(G17=E5,"OK","CHECK")</f>
        <v>OK</v>
      </c>
    </row>
    <row r="18" spans="1:8" ht="15" customHeight="1" x14ac:dyDescent="0.25">
      <c r="A18" s="6" t="str">
        <f>A6</f>
        <v>Route C</v>
      </c>
      <c r="B18" s="26">
        <f>$B$12/(B6/100)</f>
        <v>236.30011454753722</v>
      </c>
      <c r="C18" s="16">
        <f>$B$12/B18*100</f>
        <v>87.3</v>
      </c>
      <c r="D18" s="16">
        <f t="shared" si="0"/>
        <v>16.8</v>
      </c>
      <c r="E18" s="16">
        <f t="shared" si="0"/>
        <v>12.6</v>
      </c>
      <c r="F18" s="16">
        <f>C6-D6</f>
        <v>4.2000000000000011</v>
      </c>
      <c r="G18" s="6">
        <f>RANK(G6,$G$4:$G$8)</f>
        <v>1</v>
      </c>
      <c r="H18" s="6" t="str">
        <f>IF(G18=E6,"OK","CHECK")</f>
        <v>OK</v>
      </c>
    </row>
    <row r="19" spans="1:8" ht="15" customHeight="1" x14ac:dyDescent="0.25">
      <c r="A19" s="6" t="str">
        <f>A7</f>
        <v>Route D</v>
      </c>
      <c r="B19" s="26">
        <f>$B$12/(B7/100)</f>
        <v>259.48427672955972</v>
      </c>
      <c r="C19" s="16">
        <f>$B$12/B19*100</f>
        <v>79.5</v>
      </c>
      <c r="D19" s="16">
        <f t="shared" si="0"/>
        <v>22.7</v>
      </c>
      <c r="E19" s="16">
        <f t="shared" si="0"/>
        <v>16.8</v>
      </c>
      <c r="F19" s="16">
        <f>C7-D7</f>
        <v>5.8999999999999986</v>
      </c>
      <c r="G19" s="6">
        <f>RANK(G7,$G$4:$G$8)</f>
        <v>2</v>
      </c>
      <c r="H19" s="6" t="str">
        <f>IF(G19=E7,"OK","CHECK")</f>
        <v>OK</v>
      </c>
    </row>
    <row r="20" spans="1:8" ht="15" customHeight="1" x14ac:dyDescent="0.25">
      <c r="A20" s="6" t="str">
        <f>A8</f>
        <v>Route E</v>
      </c>
      <c r="B20" s="26">
        <f>$B$12/(B8/100)</f>
        <v>282.97668038408773</v>
      </c>
      <c r="C20" s="16">
        <f>$B$12/B20*100</f>
        <v>72.900000000000006</v>
      </c>
      <c r="D20" s="16">
        <f t="shared" si="0"/>
        <v>26.3</v>
      </c>
      <c r="E20" s="16">
        <f t="shared" si="0"/>
        <v>20.5</v>
      </c>
      <c r="F20" s="16">
        <f>C8-D8</f>
        <v>5.8000000000000007</v>
      </c>
      <c r="G20" s="6">
        <f>RANK(G8,$G$4:$G$8)</f>
        <v>4</v>
      </c>
      <c r="H20" s="6" t="str">
        <f>IF(G20=E8,"OK","CHECK")</f>
        <v>OK</v>
      </c>
    </row>
    <row r="23" spans="1:8" ht="42" customHeight="1" x14ac:dyDescent="0.25">
      <c r="A23" s="4" t="s">
        <v>140</v>
      </c>
      <c r="B23" s="4" t="s">
        <v>27</v>
      </c>
      <c r="C23" s="4" t="s">
        <v>28</v>
      </c>
      <c r="D23" s="4" t="s">
        <v>29</v>
      </c>
    </row>
    <row r="24" spans="1:8" ht="15" customHeight="1" x14ac:dyDescent="0.25">
      <c r="A24" s="6" t="s">
        <v>141</v>
      </c>
      <c r="B24" s="7">
        <f>(D4-D6)/D4</f>
        <v>0.59615384615384626</v>
      </c>
      <c r="C24" s="10">
        <v>0.6</v>
      </c>
      <c r="D24" s="6" t="s">
        <v>142</v>
      </c>
    </row>
    <row r="25" spans="1:8" ht="57" customHeight="1" x14ac:dyDescent="0.25">
      <c r="A25" s="6" t="s">
        <v>143</v>
      </c>
      <c r="B25" s="13">
        <f>C4/C6</f>
        <v>2.2857142857142856</v>
      </c>
      <c r="C25" s="12">
        <v>2</v>
      </c>
      <c r="D25" s="6" t="s">
        <v>144</v>
      </c>
    </row>
    <row r="26" spans="1:8" ht="15" customHeight="1" x14ac:dyDescent="0.25">
      <c r="A26" s="6" t="s">
        <v>145</v>
      </c>
      <c r="B26" s="13">
        <f>C4/C5</f>
        <v>1.5609756097560974</v>
      </c>
      <c r="C26" s="6" t="s">
        <v>13</v>
      </c>
      <c r="D26" s="6"/>
    </row>
    <row r="27" spans="1:8" ht="15" customHeight="1" x14ac:dyDescent="0.25">
      <c r="A27" s="6" t="s">
        <v>146</v>
      </c>
      <c r="B27" s="13">
        <f>C4/C7</f>
        <v>1.6916299559471366</v>
      </c>
      <c r="C27" s="6" t="s">
        <v>13</v>
      </c>
      <c r="D27" s="6"/>
    </row>
    <row r="28" spans="1:8" ht="15" customHeight="1" x14ac:dyDescent="0.25">
      <c r="A28" s="6" t="s">
        <v>147</v>
      </c>
      <c r="B28" s="13">
        <f>C4/C8</f>
        <v>1.4600760456273763</v>
      </c>
      <c r="C28" s="6" t="s">
        <v>13</v>
      </c>
      <c r="D28" s="6"/>
    </row>
    <row r="29" spans="1:8" ht="15" customHeight="1" x14ac:dyDescent="0.25">
      <c r="A29" s="6" t="s">
        <v>148</v>
      </c>
      <c r="B29" s="16">
        <f>MAX(B4:B8)</f>
        <v>87.3</v>
      </c>
      <c r="C29" s="14">
        <v>87.3</v>
      </c>
      <c r="D29" s="6" t="s">
        <v>149</v>
      </c>
    </row>
    <row r="30" spans="1:8" ht="15" customHeight="1" x14ac:dyDescent="0.25">
      <c r="A30" s="6" t="s">
        <v>150</v>
      </c>
      <c r="B30" s="16">
        <f>MIN(B4:B8)</f>
        <v>58.4</v>
      </c>
      <c r="C30" s="14">
        <v>58.4</v>
      </c>
      <c r="D30" s="6" t="s">
        <v>95</v>
      </c>
    </row>
    <row r="31" spans="1:8" ht="15" customHeight="1" x14ac:dyDescent="0.25">
      <c r="A31" s="6" t="s">
        <v>151</v>
      </c>
      <c r="B31" s="16">
        <f>MIN(C4:C8)</f>
        <v>16.8</v>
      </c>
      <c r="C31" s="14">
        <v>16.8</v>
      </c>
      <c r="D31" s="6" t="s">
        <v>152</v>
      </c>
    </row>
    <row r="32" spans="1:8" ht="15" customHeight="1" x14ac:dyDescent="0.25">
      <c r="A32" s="6" t="s">
        <v>153</v>
      </c>
      <c r="B32" s="16">
        <f>MAX(C4:C8)</f>
        <v>38.4</v>
      </c>
      <c r="C32" s="14">
        <v>38.4</v>
      </c>
      <c r="D3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showGridLines="0" zoomScaleNormal="100" workbookViewId="0">
      <selection activeCell="H19" sqref="H19"/>
    </sheetView>
  </sheetViews>
  <sheetFormatPr defaultColWidth="8.7109375" defaultRowHeight="15" x14ac:dyDescent="0.25"/>
  <cols>
    <col min="1" max="1" width="46" style="2" customWidth="1"/>
    <col min="2" max="2" width="14" style="2" customWidth="1"/>
    <col min="3" max="3" width="26" style="2" customWidth="1"/>
    <col min="4" max="4" width="12" style="2" customWidth="1"/>
    <col min="5" max="5" width="14" style="2" customWidth="1"/>
    <col min="6" max="6" width="12" style="2" customWidth="1"/>
    <col min="7" max="7" width="14" style="2" customWidth="1"/>
    <col min="8" max="10" width="16" style="2" customWidth="1"/>
    <col min="11" max="11" width="28" style="2" customWidth="1"/>
  </cols>
  <sheetData>
    <row r="1" spans="1:11" ht="17.25" customHeight="1" x14ac:dyDescent="0.25">
      <c r="A1" s="3"/>
    </row>
    <row r="3" spans="1:11" ht="42" customHeight="1" x14ac:dyDescent="0.25">
      <c r="A3" s="4" t="s">
        <v>154</v>
      </c>
      <c r="B3" s="4" t="s">
        <v>155</v>
      </c>
      <c r="C3" s="4" t="s">
        <v>156</v>
      </c>
    </row>
    <row r="4" spans="1:11" ht="23.25" customHeight="1" x14ac:dyDescent="0.25">
      <c r="A4" s="6" t="s">
        <v>157</v>
      </c>
      <c r="B4" s="12">
        <v>0.3</v>
      </c>
      <c r="C4" s="6" t="s">
        <v>158</v>
      </c>
    </row>
    <row r="5" spans="1:11" ht="23.25" customHeight="1" x14ac:dyDescent="0.25">
      <c r="A5" s="6" t="s">
        <v>159</v>
      </c>
      <c r="B5" s="12">
        <v>0.3</v>
      </c>
      <c r="C5" s="6" t="s">
        <v>160</v>
      </c>
    </row>
    <row r="6" spans="1:11" ht="23.25" customHeight="1" x14ac:dyDescent="0.25">
      <c r="A6" s="6" t="s">
        <v>161</v>
      </c>
      <c r="B6" s="12">
        <v>0.4</v>
      </c>
      <c r="C6" s="6" t="s">
        <v>162</v>
      </c>
    </row>
    <row r="7" spans="1:11" ht="15" customHeight="1" x14ac:dyDescent="0.25">
      <c r="A7" s="9" t="s">
        <v>163</v>
      </c>
      <c r="B7" s="13">
        <f>SUM(B4:B6)</f>
        <v>1</v>
      </c>
      <c r="C7" s="6" t="str">
        <f>IF(ROUND(B7,6)=1,"OK","CHECK")</f>
        <v>OK</v>
      </c>
    </row>
    <row r="9" spans="1:11" ht="42" customHeight="1" x14ac:dyDescent="0.25">
      <c r="A9" s="4" t="s">
        <v>164</v>
      </c>
      <c r="B9" s="4" t="s">
        <v>155</v>
      </c>
      <c r="C9" s="4"/>
    </row>
    <row r="10" spans="1:11" ht="15" customHeight="1" x14ac:dyDescent="0.25">
      <c r="A10" s="6" t="s">
        <v>165</v>
      </c>
      <c r="B10" s="12">
        <v>0.18</v>
      </c>
    </row>
    <row r="11" spans="1:11" ht="15" customHeight="1" x14ac:dyDescent="0.25">
      <c r="A11" s="6" t="s">
        <v>166</v>
      </c>
      <c r="B11" s="12">
        <v>0.12</v>
      </c>
    </row>
    <row r="12" spans="1:11" ht="15" customHeight="1" x14ac:dyDescent="0.25">
      <c r="A12" s="6" t="s">
        <v>125</v>
      </c>
      <c r="B12" s="12">
        <v>0.1</v>
      </c>
    </row>
    <row r="13" spans="1:11" ht="15" customHeight="1" x14ac:dyDescent="0.25">
      <c r="A13" s="9" t="s">
        <v>167</v>
      </c>
      <c r="B13" s="13">
        <f>SUM(B10:B12)</f>
        <v>0.4</v>
      </c>
      <c r="C13" s="6" t="str">
        <f>IF(ROUND(B13,6)=ROUND(B6,6),"OK","CHECK")</f>
        <v>OK</v>
      </c>
    </row>
    <row r="15" spans="1:11" ht="69.75" customHeight="1" x14ac:dyDescent="0.25">
      <c r="A15" s="4" t="s">
        <v>168</v>
      </c>
      <c r="B15" s="4" t="s">
        <v>89</v>
      </c>
      <c r="C15" s="4" t="s">
        <v>169</v>
      </c>
      <c r="D15" s="4" t="s">
        <v>170</v>
      </c>
      <c r="E15" s="4" t="s">
        <v>171</v>
      </c>
      <c r="F15" s="4" t="s">
        <v>172</v>
      </c>
      <c r="G15" s="4" t="s">
        <v>173</v>
      </c>
      <c r="H15" s="4" t="s">
        <v>174</v>
      </c>
      <c r="I15" s="4" t="s">
        <v>175</v>
      </c>
      <c r="J15" s="4" t="s">
        <v>176</v>
      </c>
      <c r="K15" s="4" t="s">
        <v>177</v>
      </c>
    </row>
    <row r="16" spans="1:11" ht="15" customHeight="1" x14ac:dyDescent="0.25">
      <c r="A16" s="9">
        <v>1</v>
      </c>
      <c r="B16" s="5" t="s">
        <v>99</v>
      </c>
      <c r="C16" s="12">
        <v>0.94</v>
      </c>
      <c r="D16" s="12">
        <v>0.89</v>
      </c>
      <c r="E16" s="12">
        <v>0.92</v>
      </c>
      <c r="F16" s="12">
        <v>0.96</v>
      </c>
      <c r="G16" s="5" t="s">
        <v>100</v>
      </c>
      <c r="H16" s="18">
        <f>$B$4*D16+$B$5*E16+$B$6*F16</f>
        <v>0.92700000000000005</v>
      </c>
      <c r="I16" s="18">
        <f>C16-H16</f>
        <v>1.2999999999999901E-2</v>
      </c>
      <c r="J16" s="6" t="s">
        <v>557</v>
      </c>
      <c r="K16" s="27">
        <f>(C16-$B$4*D16-$B$5*E16)/$B$6</f>
        <v>0.99249999999999972</v>
      </c>
    </row>
    <row r="17" spans="1:11" ht="15" customHeight="1" x14ac:dyDescent="0.25">
      <c r="A17" s="9">
        <v>2</v>
      </c>
      <c r="B17" s="5" t="s">
        <v>101</v>
      </c>
      <c r="C17" s="12">
        <v>0.82</v>
      </c>
      <c r="D17" s="12">
        <v>0.85</v>
      </c>
      <c r="E17" s="12">
        <v>0.78</v>
      </c>
      <c r="F17" s="12">
        <v>0.83</v>
      </c>
      <c r="G17" s="5" t="s">
        <v>98</v>
      </c>
      <c r="H17" s="18">
        <f>$B$4*D17+$B$5*E17+$B$6*F17</f>
        <v>0.82099999999999995</v>
      </c>
      <c r="I17" s="18">
        <f>C17-H17</f>
        <v>-1.0000000000000009E-3</v>
      </c>
      <c r="J17" s="6" t="str">
        <f>IF(ABS(I17)&lt;=0.005,"OK","DIFF")</f>
        <v>OK</v>
      </c>
      <c r="K17" s="27">
        <f>(C17-$B$4*D17-$B$5*E17)/$B$6</f>
        <v>0.8274999999999999</v>
      </c>
    </row>
    <row r="18" spans="1:11" ht="15" customHeight="1" x14ac:dyDescent="0.25">
      <c r="A18" s="9">
        <v>3</v>
      </c>
      <c r="B18" s="5" t="s">
        <v>97</v>
      </c>
      <c r="C18" s="12">
        <v>0.73</v>
      </c>
      <c r="D18" s="12">
        <v>0.81</v>
      </c>
      <c r="E18" s="12">
        <v>0.74</v>
      </c>
      <c r="F18" s="12">
        <v>0.64</v>
      </c>
      <c r="G18" s="5" t="s">
        <v>98</v>
      </c>
      <c r="H18" s="18">
        <f>$B$4*D18+$B$5*E18+$B$6*F18</f>
        <v>0.72099999999999997</v>
      </c>
      <c r="I18" s="18">
        <f>C18-H18</f>
        <v>9.000000000000008E-3</v>
      </c>
      <c r="J18" s="6" t="str">
        <f>IF(ABS(I18)&lt;=0.005,"OK","DIFF")</f>
        <v>DIFF</v>
      </c>
      <c r="K18" s="27">
        <f>(C18-$B$4*D18-$B$5*E18)/$B$6</f>
        <v>0.66249999999999998</v>
      </c>
    </row>
    <row r="19" spans="1:11" ht="15" customHeight="1" x14ac:dyDescent="0.25">
      <c r="A19" s="9">
        <v>4</v>
      </c>
      <c r="B19" s="5" t="s">
        <v>102</v>
      </c>
      <c r="C19" s="12">
        <v>0.69</v>
      </c>
      <c r="D19" s="12">
        <v>0.72</v>
      </c>
      <c r="E19" s="12">
        <v>0.7</v>
      </c>
      <c r="F19" s="12">
        <v>0.65</v>
      </c>
      <c r="G19" s="5" t="s">
        <v>98</v>
      </c>
      <c r="H19" s="18">
        <f>$B$4*D19+$B$5*E19+$B$6*F19</f>
        <v>0.68599999999999994</v>
      </c>
      <c r="I19" s="18">
        <f>C19-H19</f>
        <v>4.0000000000000036E-3</v>
      </c>
      <c r="J19" s="6" t="str">
        <f>IF(ABS(I19)&lt;=0.005,"OK","DIFF")</f>
        <v>OK</v>
      </c>
      <c r="K19" s="27">
        <f>(C19-$B$4*D19-$B$5*E19)/$B$6</f>
        <v>0.66</v>
      </c>
    </row>
    <row r="20" spans="1:11" ht="15" customHeight="1" x14ac:dyDescent="0.25">
      <c r="A20" s="9">
        <v>5</v>
      </c>
      <c r="B20" s="5" t="s">
        <v>95</v>
      </c>
      <c r="C20" s="12">
        <v>0.41</v>
      </c>
      <c r="D20" s="12">
        <v>0.55000000000000004</v>
      </c>
      <c r="E20" s="12">
        <v>0.38</v>
      </c>
      <c r="F20" s="12">
        <v>0.35</v>
      </c>
      <c r="G20" s="5" t="s">
        <v>96</v>
      </c>
      <c r="H20" s="18">
        <f>$B$4*D20+$B$5*E20+$B$6*F20</f>
        <v>0.41900000000000004</v>
      </c>
      <c r="I20" s="18">
        <f>C20-H20</f>
        <v>-9.0000000000000635E-3</v>
      </c>
      <c r="J20" s="6" t="str">
        <f>IF(ABS(I20)&lt;=0.005,"OK","DIFF")</f>
        <v>DIFF</v>
      </c>
      <c r="K20" s="27">
        <f>(C20-$B$4*D20-$B$5*E20)/$B$6</f>
        <v>0.3274999999999999</v>
      </c>
    </row>
    <row r="22" spans="1:11" ht="23.25" customHeight="1" x14ac:dyDescent="0.25">
      <c r="A22" s="6" t="s">
        <v>178</v>
      </c>
      <c r="B22" s="6" t="s">
        <v>179</v>
      </c>
      <c r="C22" s="13">
        <f>MIN(C16:C20)</f>
        <v>0.41</v>
      </c>
      <c r="D22" s="6" t="s">
        <v>180</v>
      </c>
      <c r="E22" s="13">
        <f>MAX(C16:C20)</f>
        <v>0.94</v>
      </c>
      <c r="F22" s="6" t="s">
        <v>181</v>
      </c>
    </row>
    <row r="25" spans="1:11" ht="42" customHeight="1" x14ac:dyDescent="0.25">
      <c r="A25" s="4" t="s">
        <v>182</v>
      </c>
      <c r="B25" s="4" t="s">
        <v>183</v>
      </c>
      <c r="C25" s="4"/>
    </row>
    <row r="26" spans="1:11" ht="15" customHeight="1" x14ac:dyDescent="0.25">
      <c r="A26" s="6" t="s">
        <v>184</v>
      </c>
      <c r="B26" s="10">
        <v>0.27</v>
      </c>
    </row>
    <row r="27" spans="1:11" ht="15" customHeight="1" x14ac:dyDescent="0.25">
      <c r="A27" s="6" t="s">
        <v>185</v>
      </c>
      <c r="B27" s="10">
        <v>0.31</v>
      </c>
    </row>
    <row r="28" spans="1:11" ht="15" customHeight="1" x14ac:dyDescent="0.25">
      <c r="A28" s="6" t="s">
        <v>186</v>
      </c>
      <c r="B28" s="10">
        <v>0.42</v>
      </c>
    </row>
    <row r="29" spans="1:11" ht="15" customHeight="1" x14ac:dyDescent="0.25">
      <c r="A29" s="9" t="s">
        <v>187</v>
      </c>
      <c r="B29" s="17">
        <f>SUM(B26:B28)</f>
        <v>1</v>
      </c>
      <c r="C29" s="6" t="str">
        <f>IF(ROUND(B29,6)=1,"OK","CHECK")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tabSelected="1" zoomScaleNormal="100" workbookViewId="0">
      <selection activeCell="A9" sqref="A9"/>
    </sheetView>
  </sheetViews>
  <sheetFormatPr defaultColWidth="8.7109375" defaultRowHeight="15" x14ac:dyDescent="0.25"/>
  <cols>
    <col min="1" max="1" width="52" style="2" customWidth="1"/>
    <col min="2" max="5" width="20" style="2" customWidth="1"/>
    <col min="6" max="6" width="16" style="2" customWidth="1"/>
    <col min="7" max="7" width="60" style="2" customWidth="1"/>
    <col min="8" max="8" width="16" style="2" customWidth="1"/>
  </cols>
  <sheetData>
    <row r="1" spans="1:8" ht="17.25" customHeight="1" x14ac:dyDescent="0.25">
      <c r="A1" s="3"/>
    </row>
    <row r="3" spans="1:8" ht="42" customHeight="1" x14ac:dyDescent="0.25">
      <c r="A3" s="4" t="s">
        <v>194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</row>
    <row r="4" spans="1:8" ht="15" customHeight="1" x14ac:dyDescent="0.25">
      <c r="A4" s="9" t="s">
        <v>202</v>
      </c>
      <c r="B4" s="12">
        <v>0.25</v>
      </c>
      <c r="C4" s="18">
        <f>B4*0.9</f>
        <v>0.22500000000000001</v>
      </c>
      <c r="D4" s="18">
        <f>B4*1.1</f>
        <v>0.27500000000000002</v>
      </c>
      <c r="E4" s="19">
        <v>0.22500000000000001</v>
      </c>
      <c r="F4" s="19">
        <v>0.27500000000000002</v>
      </c>
      <c r="G4" s="6" t="str">
        <f>IF(AND(ROUND(C4,3)=E4,ROUND(D4,3)=F4),"OK","CHECK")</f>
        <v>OK</v>
      </c>
      <c r="H4" s="12">
        <v>0.3</v>
      </c>
    </row>
    <row r="5" spans="1:8" ht="15" customHeight="1" x14ac:dyDescent="0.25">
      <c r="A5" s="9" t="s">
        <v>203</v>
      </c>
      <c r="B5" s="12">
        <v>0.35</v>
      </c>
      <c r="C5" s="18">
        <f>B5*0.9</f>
        <v>0.315</v>
      </c>
      <c r="D5" s="18">
        <f>B5*1.1</f>
        <v>0.38500000000000001</v>
      </c>
      <c r="E5" s="19">
        <v>0.315</v>
      </c>
      <c r="F5" s="19">
        <v>0.38500000000000001</v>
      </c>
      <c r="G5" s="6" t="str">
        <f>IF(AND(ROUND(C5,3)=E5,ROUND(D5,3)=F5),"OK","CHECK")</f>
        <v>OK</v>
      </c>
      <c r="H5" s="12">
        <v>0.3</v>
      </c>
    </row>
    <row r="6" spans="1:8" ht="15" customHeight="1" x14ac:dyDescent="0.25">
      <c r="A6" s="9" t="s">
        <v>204</v>
      </c>
      <c r="B6" s="12">
        <v>0.4</v>
      </c>
      <c r="C6" s="18">
        <f>B6*0.9</f>
        <v>0.36000000000000004</v>
      </c>
      <c r="D6" s="18">
        <f>B6*1.1</f>
        <v>0.44000000000000006</v>
      </c>
      <c r="E6" s="19">
        <v>0.36</v>
      </c>
      <c r="F6" s="19">
        <v>0.44</v>
      </c>
      <c r="G6" s="6" t="str">
        <f>IF(AND(ROUND(C6,3)=E6,ROUND(D6,3)=F6),"OK","CHECK")</f>
        <v>OK</v>
      </c>
      <c r="H6" s="12">
        <v>0.4</v>
      </c>
    </row>
    <row r="7" spans="1:8" ht="15" customHeight="1" x14ac:dyDescent="0.25">
      <c r="A7" s="9" t="s">
        <v>187</v>
      </c>
      <c r="B7" s="13">
        <f>SUM(B4:B6)</f>
        <v>1</v>
      </c>
      <c r="H7" s="13">
        <f>SUM(H4:H6)</f>
        <v>1</v>
      </c>
    </row>
    <row r="8" spans="1:8" ht="31.5" customHeight="1" x14ac:dyDescent="0.25">
      <c r="A8" s="32"/>
      <c r="B8" s="32"/>
      <c r="C8" s="32"/>
      <c r="D8" s="32"/>
      <c r="E8" s="32"/>
      <c r="F8" s="32"/>
      <c r="G8" s="32"/>
      <c r="H8" s="32"/>
    </row>
    <row r="10" spans="1:8" ht="42" customHeight="1" x14ac:dyDescent="0.25">
      <c r="A10" s="4" t="s">
        <v>205</v>
      </c>
      <c r="B10" s="4" t="s">
        <v>206</v>
      </c>
      <c r="C10" s="4" t="s">
        <v>207</v>
      </c>
      <c r="D10" s="4" t="s">
        <v>208</v>
      </c>
      <c r="E10" s="4" t="s">
        <v>209</v>
      </c>
      <c r="F10" s="4" t="s">
        <v>210</v>
      </c>
      <c r="G10" s="4" t="s">
        <v>29</v>
      </c>
    </row>
    <row r="11" spans="1:8" ht="15" customHeight="1" x14ac:dyDescent="0.25">
      <c r="A11" s="6" t="s">
        <v>211</v>
      </c>
      <c r="B11" s="12">
        <v>0.96</v>
      </c>
      <c r="C11" s="12">
        <v>0.93</v>
      </c>
      <c r="D11" s="12">
        <v>0.98</v>
      </c>
      <c r="G11" s="6" t="s">
        <v>212</v>
      </c>
    </row>
    <row r="12" spans="1:8" ht="23.25" customHeight="1" x14ac:dyDescent="0.25">
      <c r="A12" s="6" t="s">
        <v>213</v>
      </c>
      <c r="B12" s="19">
        <v>0.94</v>
      </c>
      <c r="C12" s="19">
        <v>0.92200000000000004</v>
      </c>
      <c r="D12" s="19">
        <v>0.95799999999999996</v>
      </c>
      <c r="E12" s="18">
        <f>B12-B13</f>
        <v>0.92199999999999993</v>
      </c>
      <c r="F12" s="18">
        <f>B12+B13</f>
        <v>0.95799999999999996</v>
      </c>
      <c r="G12" s="6" t="s">
        <v>214</v>
      </c>
    </row>
    <row r="13" spans="1:8" ht="15" customHeight="1" x14ac:dyDescent="0.25">
      <c r="A13" s="6" t="s">
        <v>215</v>
      </c>
      <c r="B13" s="19">
        <v>1.7999999999999999E-2</v>
      </c>
    </row>
    <row r="14" spans="1:8" ht="15" customHeight="1" x14ac:dyDescent="0.25">
      <c r="A14" s="6" t="s">
        <v>216</v>
      </c>
      <c r="B14" s="19">
        <v>1.4999999999999999E-2</v>
      </c>
    </row>
    <row r="15" spans="1:8" ht="15" customHeight="1" x14ac:dyDescent="0.25">
      <c r="A15" s="6" t="s">
        <v>217</v>
      </c>
      <c r="B15" s="5">
        <v>20</v>
      </c>
    </row>
    <row r="17" spans="1:6" ht="42" customHeight="1" x14ac:dyDescent="0.25">
      <c r="A17" s="4" t="s">
        <v>218</v>
      </c>
      <c r="B17" s="4" t="s">
        <v>219</v>
      </c>
    </row>
    <row r="18" spans="1:6" ht="15" customHeight="1" x14ac:dyDescent="0.25">
      <c r="A18" s="6" t="s">
        <v>220</v>
      </c>
      <c r="B18" s="8">
        <v>0.58299999999999996</v>
      </c>
    </row>
    <row r="19" spans="1:6" ht="15" customHeight="1" x14ac:dyDescent="0.25">
      <c r="A19" s="6" t="s">
        <v>221</v>
      </c>
      <c r="B19" s="8">
        <v>0.247</v>
      </c>
    </row>
    <row r="20" spans="1:6" ht="15" customHeight="1" x14ac:dyDescent="0.25">
      <c r="A20" s="9" t="s">
        <v>222</v>
      </c>
      <c r="B20" s="7">
        <f>B18+B19</f>
        <v>0.83</v>
      </c>
    </row>
    <row r="22" spans="1:6" ht="42" customHeight="1" x14ac:dyDescent="0.25">
      <c r="A22" s="4" t="s">
        <v>223</v>
      </c>
      <c r="B22" s="4" t="s">
        <v>224</v>
      </c>
      <c r="C22" s="4" t="s">
        <v>206</v>
      </c>
      <c r="D22" s="4" t="s">
        <v>225</v>
      </c>
    </row>
    <row r="23" spans="1:6" ht="15" customHeight="1" x14ac:dyDescent="0.25">
      <c r="A23" s="6" t="s">
        <v>226</v>
      </c>
      <c r="B23" s="28">
        <v>0.94099999999999995</v>
      </c>
      <c r="C23" s="12">
        <v>1</v>
      </c>
      <c r="D23" s="28">
        <v>0.94699999999999995</v>
      </c>
    </row>
    <row r="24" spans="1:6" ht="15" customHeight="1" x14ac:dyDescent="0.25">
      <c r="A24" s="6" t="s">
        <v>227</v>
      </c>
      <c r="B24" s="28">
        <v>0.93600000000000005</v>
      </c>
      <c r="C24" s="12">
        <v>1</v>
      </c>
      <c r="D24" s="28">
        <v>0.94399999999999995</v>
      </c>
    </row>
    <row r="25" spans="1:6" ht="15" customHeight="1" x14ac:dyDescent="0.25">
      <c r="A25" s="6" t="s">
        <v>228</v>
      </c>
      <c r="B25" s="28">
        <v>0.93200000000000005</v>
      </c>
      <c r="C25" s="12">
        <v>1</v>
      </c>
      <c r="D25" s="28">
        <v>0.93899999999999995</v>
      </c>
    </row>
    <row r="28" spans="1:6" ht="57.75" customHeight="1" x14ac:dyDescent="0.25">
      <c r="A28" s="4" t="s">
        <v>229</v>
      </c>
      <c r="B28" s="4" t="s">
        <v>230</v>
      </c>
      <c r="C28" s="4" t="s">
        <v>231</v>
      </c>
      <c r="D28" s="4" t="s">
        <v>232</v>
      </c>
      <c r="E28" s="4" t="s">
        <v>233</v>
      </c>
      <c r="F28" s="4" t="s">
        <v>234</v>
      </c>
    </row>
    <row r="29" spans="1:6" ht="15" customHeight="1" x14ac:dyDescent="0.25">
      <c r="A29" s="9" t="s">
        <v>99</v>
      </c>
      <c r="B29" s="28">
        <v>0.92200000000000004</v>
      </c>
      <c r="C29" s="28">
        <v>0.93</v>
      </c>
      <c r="D29" s="28">
        <v>0.94</v>
      </c>
      <c r="E29" s="28">
        <v>0.95</v>
      </c>
      <c r="F29" s="28">
        <v>0.95799999999999996</v>
      </c>
    </row>
    <row r="30" spans="1:6" ht="15" customHeight="1" x14ac:dyDescent="0.25">
      <c r="A30" s="9" t="s">
        <v>101</v>
      </c>
      <c r="B30" s="28">
        <v>0.76</v>
      </c>
      <c r="C30" s="28">
        <v>0.78</v>
      </c>
      <c r="D30" s="28">
        <v>0.8</v>
      </c>
      <c r="E30" s="28">
        <v>0.82</v>
      </c>
      <c r="F30" s="28">
        <v>0.83499999999999996</v>
      </c>
    </row>
    <row r="31" spans="1:6" ht="15" customHeight="1" x14ac:dyDescent="0.25">
      <c r="A31" s="9" t="s">
        <v>97</v>
      </c>
      <c r="B31" s="28">
        <v>0.69</v>
      </c>
      <c r="C31" s="28">
        <v>0.71</v>
      </c>
      <c r="D31" s="28">
        <v>0.73</v>
      </c>
      <c r="E31" s="28">
        <v>0.748</v>
      </c>
      <c r="F31" s="28">
        <v>0.76200000000000001</v>
      </c>
    </row>
    <row r="32" spans="1:6" ht="15" customHeight="1" x14ac:dyDescent="0.25">
      <c r="A32" s="9" t="s">
        <v>102</v>
      </c>
      <c r="B32" s="28">
        <v>0.62</v>
      </c>
      <c r="C32" s="28">
        <v>0.64</v>
      </c>
      <c r="D32" s="28">
        <v>0.66</v>
      </c>
      <c r="E32" s="28">
        <v>0.67500000000000004</v>
      </c>
      <c r="F32" s="28">
        <v>0.69</v>
      </c>
    </row>
    <row r="33" spans="1:6" ht="15" customHeight="1" x14ac:dyDescent="0.25">
      <c r="A33" s="9" t="s">
        <v>95</v>
      </c>
      <c r="B33" s="28">
        <v>0.36</v>
      </c>
      <c r="C33" s="28">
        <v>0.38</v>
      </c>
      <c r="D33" s="28">
        <v>0.41</v>
      </c>
      <c r="E33" s="28">
        <v>0.435</v>
      </c>
      <c r="F33" s="28">
        <v>0.45</v>
      </c>
    </row>
    <row r="34" spans="1:6" ht="15" customHeight="1" x14ac:dyDescent="0.25">
      <c r="A34" s="6" t="s">
        <v>235</v>
      </c>
      <c r="B34" s="6" t="str">
        <f>IF(AND(B29&gt;MAX(B30:B33),C29&gt;MAX(C30:C33),D29&gt;MAX(D30:D33),E29&gt;MAX(E30:E33),F29&gt;MAX(F30:F33)),"Yes","No")</f>
        <v>Yes</v>
      </c>
    </row>
  </sheetData>
  <mergeCells count="1"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14" style="2" customWidth="1"/>
    <col min="2" max="2" width="20" style="2" customWidth="1"/>
    <col min="3" max="5" width="18" style="2" customWidth="1"/>
    <col min="6" max="6" width="22" style="2" customWidth="1"/>
    <col min="7" max="7" width="20" style="2" customWidth="1"/>
  </cols>
  <sheetData>
    <row r="1" spans="1:7" ht="17.25" customHeight="1" x14ac:dyDescent="0.25">
      <c r="A1" s="3"/>
    </row>
    <row r="2" spans="1:7" ht="15" customHeight="1" x14ac:dyDescent="0.25">
      <c r="A2" s="15"/>
    </row>
    <row r="4" spans="1:7" ht="45" customHeight="1" x14ac:dyDescent="0.25">
      <c r="A4" s="4" t="s">
        <v>89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  <c r="G4" s="4" t="s">
        <v>193</v>
      </c>
    </row>
    <row r="5" spans="1:7" ht="15" customHeight="1" x14ac:dyDescent="0.25">
      <c r="A5" s="6" t="str">
        <f>Green!A4</f>
        <v>Route A</v>
      </c>
      <c r="B5" s="18">
        <f>(Green!B4-MIN(Green!B$4:B$8))/(MAX(Green!B$4:B$8)-MIN(Green!B$4:B$8))</f>
        <v>0</v>
      </c>
      <c r="C5" s="18">
        <f>(MAX(Green!C$4:C$8)-Green!C4)/(MAX(Green!C$4:C$8)-MIN(Green!C$4:C$8))</f>
        <v>0</v>
      </c>
      <c r="D5" s="18">
        <f>(MAX(Green!D$4:D$8)-Green!D4)/(MAX(Green!D$4:D$8)-MIN(Green!D$4:D$8))</f>
        <v>0</v>
      </c>
      <c r="E5" s="18">
        <f>(MAX(DFT!B$5:B$9)-DFT!B5)/(MAX(DFT!B$5:B$9)-MIN(DFT!B$5:B$9))</f>
        <v>0</v>
      </c>
      <c r="F5" s="18">
        <f>(MAX(DFT!C$5:C$9)-DFT!C5)/(MAX(DFT!C$5:C$9)-MIN(DFT!C$5:C$9))</f>
        <v>0</v>
      </c>
      <c r="G5" s="18">
        <f>(DFT!D5-MIN(DFT!D$5:D$9))/(MAX(DFT!D$5:D$9)-MIN(DFT!D$5:D$9))</f>
        <v>0</v>
      </c>
    </row>
    <row r="6" spans="1:7" ht="15" customHeight="1" x14ac:dyDescent="0.25">
      <c r="A6" s="6" t="str">
        <f>Green!A5</f>
        <v>Route B</v>
      </c>
      <c r="B6" s="18">
        <f>(Green!B5-MIN(Green!B$4:B$8))/(MAX(Green!B$4:B$8)-MIN(Green!B$4:B$8))</f>
        <v>0.5674740484429065</v>
      </c>
      <c r="C6" s="18">
        <f>(MAX(Green!C$4:C$8)-Green!C5)/(MAX(Green!C$4:C$8)-MIN(Green!C$4:C$8))</f>
        <v>0.63888888888888884</v>
      </c>
      <c r="D6" s="18">
        <f>(MAX(Green!D$4:D$8)-Green!D5)/(MAX(Green!D$4:D$8)-MIN(Green!D$4:D$8))</f>
        <v>0.66129032258064513</v>
      </c>
      <c r="E6" s="18">
        <f>(MAX(DFT!B$5:B$9)-DFT!B6)/(MAX(DFT!B$5:B$9)-MIN(DFT!B$5:B$9))</f>
        <v>0.55263157894736847</v>
      </c>
      <c r="F6" s="18">
        <f>(MAX(DFT!C$5:C$9)-DFT!C6)/(MAX(DFT!C$5:C$9)-MIN(DFT!C$5:C$9))</f>
        <v>0.51127819548872222</v>
      </c>
      <c r="G6" s="18">
        <f>(DFT!D6-MIN(DFT!D$5:D$9))/(MAX(DFT!D$5:D$9)-MIN(DFT!D$5:D$9))</f>
        <v>0.53846153846153855</v>
      </c>
    </row>
    <row r="7" spans="1:7" ht="15" customHeight="1" x14ac:dyDescent="0.25">
      <c r="A7" s="6" t="str">
        <f>Green!A6</f>
        <v>Route C</v>
      </c>
      <c r="B7" s="18">
        <f>(Green!B6-MIN(Green!B$4:B$8))/(MAX(Green!B$4:B$8)-MIN(Green!B$4:B$8))</f>
        <v>1</v>
      </c>
      <c r="C7" s="18">
        <f>(MAX(Green!C$4:C$8)-Green!C6)/(MAX(Green!C$4:C$8)-MIN(Green!C$4:C$8))</f>
        <v>1</v>
      </c>
      <c r="D7" s="18">
        <f>(MAX(Green!D$4:D$8)-Green!D6)/(MAX(Green!D$4:D$8)-MIN(Green!D$4:D$8))</f>
        <v>1</v>
      </c>
      <c r="E7" s="18">
        <f>(MAX(DFT!B$5:B$9)-DFT!B7)/(MAX(DFT!B$5:B$9)-MIN(DFT!B$5:B$9))</f>
        <v>1</v>
      </c>
      <c r="F7" s="18">
        <f>(MAX(DFT!C$5:C$9)-DFT!C7)/(MAX(DFT!C$5:C$9)-MIN(DFT!C$5:C$9))</f>
        <v>1</v>
      </c>
      <c r="G7" s="18">
        <f>(DFT!D7-MIN(DFT!D$5:D$9))/(MAX(DFT!D$5:D$9)-MIN(DFT!D$5:D$9))</f>
        <v>1</v>
      </c>
    </row>
    <row r="8" spans="1:7" ht="15" customHeight="1" x14ac:dyDescent="0.25">
      <c r="A8" s="6" t="str">
        <f>Green!A7</f>
        <v>Route D</v>
      </c>
      <c r="B8" s="18">
        <f>(Green!B7-MIN(Green!B$4:B$8))/(MAX(Green!B$4:B$8)-MIN(Green!B$4:B$8))</f>
        <v>0.73010380622837379</v>
      </c>
      <c r="C8" s="18">
        <f>(MAX(Green!C$4:C$8)-Green!C7)/(MAX(Green!C$4:C$8)-MIN(Green!C$4:C$8))</f>
        <v>0.72685185185185186</v>
      </c>
      <c r="D8" s="18">
        <f>(MAX(Green!D$4:D$8)-Green!D7)/(MAX(Green!D$4:D$8)-MIN(Green!D$4:D$8))</f>
        <v>0.77419354838709664</v>
      </c>
      <c r="E8" s="18">
        <f>(MAX(DFT!B$5:B$9)-DFT!B8)/(MAX(DFT!B$5:B$9)-MIN(DFT!B$5:B$9))</f>
        <v>0.76973684210526305</v>
      </c>
      <c r="F8" s="18">
        <f>(MAX(DFT!C$5:C$9)-DFT!C8)/(MAX(DFT!C$5:C$9)-MIN(DFT!C$5:C$9))</f>
        <v>0.80451127819548884</v>
      </c>
      <c r="G8" s="18">
        <f>(DFT!D8-MIN(DFT!D$5:D$9))/(MAX(DFT!D$5:D$9)-MIN(DFT!D$5:D$9))</f>
        <v>0.69230769230769207</v>
      </c>
    </row>
    <row r="9" spans="1:7" ht="15" customHeight="1" x14ac:dyDescent="0.25">
      <c r="A9" s="6" t="str">
        <f>Green!A8</f>
        <v>Route E</v>
      </c>
      <c r="B9" s="18">
        <f>(Green!B8-MIN(Green!B$4:B$8))/(MAX(Green!B$4:B$8)-MIN(Green!B$4:B$8))</f>
        <v>0.50173010380622862</v>
      </c>
      <c r="C9" s="18">
        <f>(MAX(Green!C$4:C$8)-Green!C8)/(MAX(Green!C$4:C$8)-MIN(Green!C$4:C$8))</f>
        <v>0.56018518518518512</v>
      </c>
      <c r="D9" s="18">
        <f>(MAX(Green!D$4:D$8)-Green!D8)/(MAX(Green!D$4:D$8)-MIN(Green!D$4:D$8))</f>
        <v>0.57526881720430101</v>
      </c>
      <c r="E9" s="18">
        <f>(MAX(DFT!B$5:B$9)-DFT!B9)/(MAX(DFT!B$5:B$9)-MIN(DFT!B$5:B$9))</f>
        <v>0.73026315789473695</v>
      </c>
      <c r="F9" s="18">
        <f>(MAX(DFT!C$5:C$9)-DFT!C9)/(MAX(DFT!C$5:C$9)-MIN(DFT!C$5:C$9))</f>
        <v>0.75939849624060196</v>
      </c>
      <c r="G9" s="18">
        <f>(DFT!D9-MIN(DFT!D$5:D$9))/(MAX(DFT!D$5:D$9)-MIN(DFT!D$5:D$9))</f>
        <v>0.30769230769230765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40" style="2" customWidth="1"/>
    <col min="2" max="6" width="16" style="2" customWidth="1"/>
    <col min="7" max="8" width="10" style="2" customWidth="1"/>
    <col min="9" max="9" width="14" style="2" customWidth="1"/>
    <col min="10" max="10" width="24" style="2" customWidth="1"/>
  </cols>
  <sheetData>
    <row r="1" spans="1:10" ht="17.25" customHeight="1" x14ac:dyDescent="0.25">
      <c r="A1" s="3"/>
    </row>
    <row r="3" spans="1:10" ht="45" customHeight="1" x14ac:dyDescent="0.25">
      <c r="A3" s="4" t="s">
        <v>236</v>
      </c>
      <c r="B3" s="4" t="s">
        <v>237</v>
      </c>
      <c r="C3" s="4" t="s">
        <v>238</v>
      </c>
      <c r="D3" s="4" t="s">
        <v>239</v>
      </c>
      <c r="E3" s="4" t="s">
        <v>90</v>
      </c>
      <c r="F3" s="4" t="s">
        <v>123</v>
      </c>
      <c r="G3" s="4" t="s">
        <v>124</v>
      </c>
      <c r="H3" s="4" t="s">
        <v>125</v>
      </c>
      <c r="I3" s="4" t="s">
        <v>240</v>
      </c>
      <c r="J3" s="4" t="s">
        <v>241</v>
      </c>
    </row>
    <row r="4" spans="1:10" ht="15" customHeight="1" x14ac:dyDescent="0.25">
      <c r="A4" s="9" t="s">
        <v>242</v>
      </c>
      <c r="B4" s="5">
        <v>48</v>
      </c>
      <c r="C4" s="5" t="s">
        <v>99</v>
      </c>
      <c r="D4" s="12">
        <v>0.94</v>
      </c>
      <c r="E4" s="14">
        <v>18.600000000000001</v>
      </c>
      <c r="F4" s="14">
        <v>87.3</v>
      </c>
      <c r="G4" s="14">
        <v>16.8</v>
      </c>
      <c r="H4" s="14">
        <v>12.6</v>
      </c>
      <c r="I4" s="16">
        <f>G4-H4</f>
        <v>4.2000000000000011</v>
      </c>
      <c r="J4" s="27">
        <f>100/F4</f>
        <v>1.1454753722794959</v>
      </c>
    </row>
    <row r="5" spans="1:10" ht="15" customHeight="1" x14ac:dyDescent="0.25">
      <c r="A5" s="9" t="s">
        <v>243</v>
      </c>
      <c r="B5" s="5">
        <v>45</v>
      </c>
      <c r="C5" s="5" t="s">
        <v>97</v>
      </c>
      <c r="D5" s="12">
        <v>0.91</v>
      </c>
      <c r="E5" s="14">
        <v>19.8</v>
      </c>
      <c r="F5" s="14">
        <v>84.5</v>
      </c>
      <c r="G5" s="14">
        <v>18.100000000000001</v>
      </c>
      <c r="H5" s="14">
        <v>13.9</v>
      </c>
      <c r="I5" s="16">
        <f>G5-H5</f>
        <v>4.2000000000000011</v>
      </c>
      <c r="J5" s="27">
        <f>100/F5</f>
        <v>1.1834319526627219</v>
      </c>
    </row>
    <row r="6" spans="1:10" ht="15" customHeight="1" x14ac:dyDescent="0.25">
      <c r="A6" s="9" t="s">
        <v>244</v>
      </c>
      <c r="B6" s="5">
        <v>41</v>
      </c>
      <c r="C6" s="5" t="s">
        <v>95</v>
      </c>
      <c r="D6" s="12">
        <v>0.89</v>
      </c>
      <c r="E6" s="14">
        <v>20.399999999999999</v>
      </c>
      <c r="F6" s="14">
        <v>82.8</v>
      </c>
      <c r="G6" s="14">
        <v>19.5</v>
      </c>
      <c r="H6" s="14">
        <v>15.2</v>
      </c>
      <c r="I6" s="16">
        <f>G6-H6</f>
        <v>4.3000000000000007</v>
      </c>
      <c r="J6" s="27">
        <f>100/F6</f>
        <v>1.2077294685990339</v>
      </c>
    </row>
    <row r="8" spans="1:10" ht="15" customHeight="1" x14ac:dyDescent="0.25">
      <c r="A8" s="9" t="s">
        <v>245</v>
      </c>
      <c r="B8" s="6" t="str">
        <f>IF(AND(D4=Composite!C16,E4=DFT!B7,F4=Green!B6,G4=Green!C6,H4=Green!D6),"OK","CHECK")</f>
        <v>OK</v>
      </c>
    </row>
    <row r="10" spans="1:10" ht="15" customHeight="1" x14ac:dyDescent="0.25">
      <c r="A10" s="9" t="s">
        <v>246</v>
      </c>
    </row>
    <row r="11" spans="1:10" ht="15" customHeight="1" x14ac:dyDescent="0.25">
      <c r="A11" s="6" t="s">
        <v>247</v>
      </c>
      <c r="B11" s="5" t="s">
        <v>248</v>
      </c>
      <c r="C11" s="6" t="s">
        <v>249</v>
      </c>
    </row>
    <row r="12" spans="1:10" ht="15" customHeight="1" x14ac:dyDescent="0.25">
      <c r="A12" s="6" t="s">
        <v>250</v>
      </c>
      <c r="B12" s="10">
        <v>0.92</v>
      </c>
      <c r="C12" s="6" t="s">
        <v>249</v>
      </c>
    </row>
    <row r="13" spans="1:10" ht="34.5" customHeight="1" x14ac:dyDescent="0.25">
      <c r="A13" s="6" t="s">
        <v>251</v>
      </c>
      <c r="B13" s="10">
        <v>0.63</v>
      </c>
      <c r="C13" s="6" t="s">
        <v>252</v>
      </c>
    </row>
    <row r="14" spans="1:10" ht="15" customHeight="1" x14ac:dyDescent="0.25">
      <c r="A14" s="6" t="s">
        <v>253</v>
      </c>
      <c r="B14" s="5" t="s">
        <v>119</v>
      </c>
      <c r="C14" s="6" t="s">
        <v>254</v>
      </c>
    </row>
    <row r="16" spans="1:10" ht="15" customHeight="1" x14ac:dyDescent="0.25">
      <c r="A16" s="32" t="s">
        <v>255</v>
      </c>
      <c r="B16" s="32"/>
      <c r="C16" s="32"/>
      <c r="D16" s="32"/>
      <c r="E16" s="32"/>
      <c r="F16" s="32"/>
      <c r="G16" s="32"/>
      <c r="H16" s="32"/>
      <c r="I16" s="32"/>
      <c r="J16" s="32"/>
    </row>
  </sheetData>
  <mergeCells count="1"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showGridLines="0" zoomScaleNormal="10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A2" sqref="A2:U2"/>
    </sheetView>
  </sheetViews>
  <sheetFormatPr defaultColWidth="8.7109375" defaultRowHeight="15" x14ac:dyDescent="0.25"/>
  <cols>
    <col min="1" max="1" width="34" customWidth="1"/>
    <col min="2" max="2" width="16" customWidth="1"/>
    <col min="3" max="3" width="12" customWidth="1"/>
    <col min="4" max="4" width="14" customWidth="1"/>
    <col min="5" max="6" width="12" customWidth="1"/>
    <col min="7" max="7" width="10" customWidth="1"/>
    <col min="8" max="10" width="12" customWidth="1"/>
    <col min="11" max="11" width="9" customWidth="1"/>
    <col min="12" max="12" width="10" customWidth="1"/>
    <col min="13" max="13" width="14" customWidth="1"/>
    <col min="14" max="17" width="12" customWidth="1"/>
    <col min="18" max="18" width="13" customWidth="1"/>
    <col min="19" max="20" width="10" customWidth="1"/>
    <col min="21" max="21" width="18" customWidth="1"/>
  </cols>
  <sheetData>
    <row r="1" spans="1:21" ht="18" x14ac:dyDescent="0.25">
      <c r="A1" s="1">
        <v>48</v>
      </c>
    </row>
    <row r="2" spans="1:21" ht="31.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9" t="s">
        <v>256</v>
      </c>
    </row>
    <row r="4" spans="1:21" ht="76.5" x14ac:dyDescent="0.25">
      <c r="A4" s="6" t="s">
        <v>257</v>
      </c>
      <c r="B4" s="29">
        <v>35</v>
      </c>
      <c r="C4" s="6" t="s">
        <v>258</v>
      </c>
    </row>
    <row r="5" spans="1:21" ht="51" x14ac:dyDescent="0.25">
      <c r="A5" s="6" t="s">
        <v>259</v>
      </c>
      <c r="B5" s="29">
        <v>5.65</v>
      </c>
      <c r="C5" s="6" t="s">
        <v>260</v>
      </c>
    </row>
    <row r="6" spans="1:21" ht="51" x14ac:dyDescent="0.25">
      <c r="A6" s="6" t="s">
        <v>261</v>
      </c>
      <c r="B6" s="29">
        <v>58</v>
      </c>
      <c r="C6" s="6" t="s">
        <v>262</v>
      </c>
    </row>
    <row r="7" spans="1:21" ht="51" x14ac:dyDescent="0.25">
      <c r="A7" s="6" t="s">
        <v>263</v>
      </c>
      <c r="B7" s="29">
        <v>40</v>
      </c>
      <c r="C7" s="6" t="s">
        <v>264</v>
      </c>
    </row>
    <row r="8" spans="1:21" ht="51" x14ac:dyDescent="0.25">
      <c r="A8" s="6" t="s">
        <v>265</v>
      </c>
      <c r="B8" s="29">
        <v>32</v>
      </c>
      <c r="C8" s="6" t="s">
        <v>266</v>
      </c>
    </row>
    <row r="11" spans="1:21" ht="60" customHeight="1" x14ac:dyDescent="0.25">
      <c r="A11" s="4" t="s">
        <v>267</v>
      </c>
      <c r="B11" s="4" t="s">
        <v>268</v>
      </c>
      <c r="C11" s="4" t="s">
        <v>269</v>
      </c>
      <c r="D11" s="4" t="s">
        <v>270</v>
      </c>
      <c r="E11" s="4" t="s">
        <v>90</v>
      </c>
      <c r="F11" s="4" t="s">
        <v>91</v>
      </c>
      <c r="G11" s="4" t="s">
        <v>271</v>
      </c>
      <c r="H11" s="4" t="s">
        <v>93</v>
      </c>
      <c r="I11" s="4" t="s">
        <v>272</v>
      </c>
      <c r="J11" s="4" t="s">
        <v>123</v>
      </c>
      <c r="K11" s="4" t="s">
        <v>124</v>
      </c>
      <c r="L11" s="4" t="s">
        <v>125</v>
      </c>
      <c r="M11" s="4" t="s">
        <v>273</v>
      </c>
      <c r="N11" s="4" t="s">
        <v>274</v>
      </c>
      <c r="O11" s="4" t="s">
        <v>275</v>
      </c>
      <c r="P11" s="4" t="s">
        <v>276</v>
      </c>
      <c r="Q11" s="4" t="s">
        <v>277</v>
      </c>
      <c r="R11" s="4" t="s">
        <v>278</v>
      </c>
      <c r="S11" s="4" t="s">
        <v>279</v>
      </c>
      <c r="T11" s="4" t="s">
        <v>280</v>
      </c>
      <c r="U11" s="4" t="s">
        <v>281</v>
      </c>
    </row>
    <row r="12" spans="1:21" x14ac:dyDescent="0.25">
      <c r="A12" s="9" t="s">
        <v>282</v>
      </c>
      <c r="B12" s="9" t="s">
        <v>95</v>
      </c>
      <c r="C12" s="24">
        <v>0.85</v>
      </c>
      <c r="D12" s="30">
        <v>1</v>
      </c>
      <c r="E12" s="20">
        <f>DFT!B5</f>
        <v>33.799999999999997</v>
      </c>
      <c r="F12" s="21">
        <f>DFT!C5</f>
        <v>5.61</v>
      </c>
      <c r="G12" s="21">
        <f>DFT!D5</f>
        <v>0.21</v>
      </c>
      <c r="H12" s="20">
        <f>DFT!E5</f>
        <v>-8.1999999999999993</v>
      </c>
      <c r="I12" s="6">
        <f t="shared" ref="I12:I59" si="0">IF(AND(D12=1,ISNUMBER(E12),E12&lt;=$B$4,F12&lt;=$B$5),1,0)</f>
        <v>1</v>
      </c>
      <c r="J12" s="20">
        <f>Green!B4</f>
        <v>58.4</v>
      </c>
      <c r="K12" s="20">
        <f>Green!C4</f>
        <v>38.4</v>
      </c>
      <c r="L12" s="20">
        <f>Green!D4</f>
        <v>31.2</v>
      </c>
      <c r="M12" s="6">
        <f t="shared" ref="M12:M59" si="1">IF(AND(I12=1,ISNUMBER(J12),J12&gt;=$B$6,K12&lt;=$B$7,L12&lt;=$B$8),1,0)</f>
        <v>1</v>
      </c>
      <c r="N12" s="21">
        <f>Composite!D20</f>
        <v>0.55000000000000004</v>
      </c>
      <c r="O12" s="21">
        <f>Composite!E20</f>
        <v>0.38</v>
      </c>
      <c r="P12" s="21">
        <f>Composite!F20</f>
        <v>0.35</v>
      </c>
      <c r="Q12" s="21">
        <f>Composite!C20</f>
        <v>0.41</v>
      </c>
      <c r="R12" s="6">
        <f t="shared" ref="R12:R59" si="2">IF(M12=1,RANK(Q12,$Q$12:$Q$59),"")</f>
        <v>9</v>
      </c>
      <c r="S12" s="6">
        <f t="shared" ref="S12:S59" si="3">IF(M12=1,IF(R12&lt;=3,1,0),0)</f>
        <v>0</v>
      </c>
      <c r="T12" s="6">
        <f t="shared" ref="T12:T59" si="4">IF(M12=1,IF(R12=1,1,0),0)</f>
        <v>0</v>
      </c>
      <c r="U12" s="6" t="str">
        <f t="shared" ref="U12:U59" si="5">IF(T12=1,"Selected",IF(S12=1,"Top 3",IF(M12=1,"Green screening",IF(I12=1,"DFT stage",IF(D12=1,"Plausibility","AI only")))))</f>
        <v>Green screening</v>
      </c>
    </row>
    <row r="13" spans="1:21" x14ac:dyDescent="0.25">
      <c r="A13" s="9" t="s">
        <v>283</v>
      </c>
      <c r="B13" s="9" t="s">
        <v>97</v>
      </c>
      <c r="C13" s="24">
        <v>0.91</v>
      </c>
      <c r="D13" s="30">
        <v>1</v>
      </c>
      <c r="E13" s="20">
        <f>DFT!B6</f>
        <v>25.4</v>
      </c>
      <c r="F13" s="21">
        <f>DFT!C6</f>
        <v>4.93</v>
      </c>
      <c r="G13" s="21">
        <f>DFT!D6</f>
        <v>0.28000000000000003</v>
      </c>
      <c r="H13" s="20">
        <f>DFT!E6</f>
        <v>-12.5</v>
      </c>
      <c r="I13" s="6">
        <f t="shared" si="0"/>
        <v>1</v>
      </c>
      <c r="J13" s="20">
        <f>Green!B5</f>
        <v>74.8</v>
      </c>
      <c r="K13" s="20">
        <f>Green!C5</f>
        <v>24.6</v>
      </c>
      <c r="L13" s="20">
        <f>Green!D5</f>
        <v>18.899999999999999</v>
      </c>
      <c r="M13" s="6">
        <f t="shared" si="1"/>
        <v>1</v>
      </c>
      <c r="N13" s="21">
        <f>Composite!D18</f>
        <v>0.81</v>
      </c>
      <c r="O13" s="21">
        <f>Composite!E18</f>
        <v>0.74</v>
      </c>
      <c r="P13" s="21">
        <f>Composite!F18</f>
        <v>0.64</v>
      </c>
      <c r="Q13" s="21">
        <f>Composite!C18</f>
        <v>0.73</v>
      </c>
      <c r="R13" s="6">
        <f t="shared" si="2"/>
        <v>3</v>
      </c>
      <c r="S13" s="6">
        <f t="shared" si="3"/>
        <v>1</v>
      </c>
      <c r="T13" s="6">
        <f t="shared" si="4"/>
        <v>0</v>
      </c>
      <c r="U13" s="6" t="str">
        <f t="shared" si="5"/>
        <v>Top 3</v>
      </c>
    </row>
    <row r="14" spans="1:21" x14ac:dyDescent="0.25">
      <c r="A14" s="9" t="s">
        <v>284</v>
      </c>
      <c r="B14" s="9" t="s">
        <v>99</v>
      </c>
      <c r="C14" s="24">
        <v>0.97</v>
      </c>
      <c r="D14" s="30">
        <v>1</v>
      </c>
      <c r="E14" s="20">
        <f>DFT!B7</f>
        <v>18.600000000000001</v>
      </c>
      <c r="F14" s="21">
        <f>DFT!C7</f>
        <v>4.28</v>
      </c>
      <c r="G14" s="21">
        <f>DFT!D7</f>
        <v>0.34</v>
      </c>
      <c r="H14" s="20">
        <f>DFT!E7</f>
        <v>-18.100000000000001</v>
      </c>
      <c r="I14" s="6">
        <f t="shared" si="0"/>
        <v>1</v>
      </c>
      <c r="J14" s="20">
        <f>Green!B6</f>
        <v>87.3</v>
      </c>
      <c r="K14" s="20">
        <f>Green!C6</f>
        <v>16.8</v>
      </c>
      <c r="L14" s="20">
        <f>Green!D6</f>
        <v>12.6</v>
      </c>
      <c r="M14" s="6">
        <f t="shared" si="1"/>
        <v>1</v>
      </c>
      <c r="N14" s="21">
        <f>Composite!D16</f>
        <v>0.89</v>
      </c>
      <c r="O14" s="21">
        <f>Composite!E16</f>
        <v>0.92</v>
      </c>
      <c r="P14" s="21">
        <f>Composite!F16</f>
        <v>0.96</v>
      </c>
      <c r="Q14" s="21">
        <f>Composite!C16</f>
        <v>0.94</v>
      </c>
      <c r="R14" s="6">
        <f t="shared" si="2"/>
        <v>1</v>
      </c>
      <c r="S14" s="6">
        <f t="shared" si="3"/>
        <v>1</v>
      </c>
      <c r="T14" s="6">
        <f t="shared" si="4"/>
        <v>1</v>
      </c>
      <c r="U14" s="6" t="str">
        <f t="shared" si="5"/>
        <v>Selected</v>
      </c>
    </row>
    <row r="15" spans="1:21" x14ac:dyDescent="0.25">
      <c r="A15" s="9" t="s">
        <v>285</v>
      </c>
      <c r="B15" s="9" t="s">
        <v>101</v>
      </c>
      <c r="C15" s="24">
        <v>0.92</v>
      </c>
      <c r="D15" s="30">
        <v>1</v>
      </c>
      <c r="E15" s="20">
        <f>DFT!B8</f>
        <v>22.1</v>
      </c>
      <c r="F15" s="21">
        <f>DFT!C8</f>
        <v>4.54</v>
      </c>
      <c r="G15" s="21">
        <f>DFT!D8</f>
        <v>0.3</v>
      </c>
      <c r="H15" s="20">
        <f>DFT!E8</f>
        <v>-15.7</v>
      </c>
      <c r="I15" s="6">
        <f t="shared" si="0"/>
        <v>1</v>
      </c>
      <c r="J15" s="20">
        <f>Green!B7</f>
        <v>79.5</v>
      </c>
      <c r="K15" s="20">
        <f>Green!C7</f>
        <v>22.7</v>
      </c>
      <c r="L15" s="20">
        <f>Green!D7</f>
        <v>16.8</v>
      </c>
      <c r="M15" s="6">
        <f t="shared" si="1"/>
        <v>1</v>
      </c>
      <c r="N15" s="21">
        <f>Composite!D17</f>
        <v>0.85</v>
      </c>
      <c r="O15" s="21">
        <f>Composite!E17</f>
        <v>0.78</v>
      </c>
      <c r="P15" s="21">
        <f>Composite!F17</f>
        <v>0.83</v>
      </c>
      <c r="Q15" s="21">
        <f>Composite!C17</f>
        <v>0.82</v>
      </c>
      <c r="R15" s="6">
        <f t="shared" si="2"/>
        <v>2</v>
      </c>
      <c r="S15" s="6">
        <f t="shared" si="3"/>
        <v>1</v>
      </c>
      <c r="T15" s="6">
        <f t="shared" si="4"/>
        <v>0</v>
      </c>
      <c r="U15" s="6" t="str">
        <f t="shared" si="5"/>
        <v>Top 3</v>
      </c>
    </row>
    <row r="16" spans="1:21" x14ac:dyDescent="0.25">
      <c r="A16" s="9" t="s">
        <v>286</v>
      </c>
      <c r="B16" s="9" t="s">
        <v>102</v>
      </c>
      <c r="C16" s="24">
        <v>0.87</v>
      </c>
      <c r="D16" s="30">
        <v>1</v>
      </c>
      <c r="E16" s="20">
        <f>DFT!B9</f>
        <v>22.7</v>
      </c>
      <c r="F16" s="21">
        <f>DFT!C9</f>
        <v>4.5999999999999996</v>
      </c>
      <c r="G16" s="21">
        <f>DFT!D9</f>
        <v>0.25</v>
      </c>
      <c r="H16" s="20">
        <f>DFT!E9</f>
        <v>-14.8</v>
      </c>
      <c r="I16" s="6">
        <f t="shared" si="0"/>
        <v>1</v>
      </c>
      <c r="J16" s="20">
        <f>Green!B8</f>
        <v>72.900000000000006</v>
      </c>
      <c r="K16" s="20">
        <f>Green!C8</f>
        <v>26.3</v>
      </c>
      <c r="L16" s="20">
        <f>Green!D8</f>
        <v>20.5</v>
      </c>
      <c r="M16" s="6">
        <f t="shared" si="1"/>
        <v>1</v>
      </c>
      <c r="N16" s="21">
        <f>Composite!D19</f>
        <v>0.72</v>
      </c>
      <c r="O16" s="21">
        <f>Composite!E19</f>
        <v>0.7</v>
      </c>
      <c r="P16" s="21">
        <f>Composite!F19</f>
        <v>0.65</v>
      </c>
      <c r="Q16" s="21">
        <f>Composite!C19</f>
        <v>0.69</v>
      </c>
      <c r="R16" s="6">
        <f t="shared" si="2"/>
        <v>4</v>
      </c>
      <c r="S16" s="6">
        <f t="shared" si="3"/>
        <v>0</v>
      </c>
      <c r="T16" s="6">
        <f t="shared" si="4"/>
        <v>0</v>
      </c>
      <c r="U16" s="6" t="str">
        <f t="shared" si="5"/>
        <v>Green screening</v>
      </c>
    </row>
    <row r="17" spans="1:21" x14ac:dyDescent="0.25">
      <c r="A17" s="9" t="s">
        <v>287</v>
      </c>
      <c r="B17" s="9" t="s">
        <v>288</v>
      </c>
      <c r="C17" s="24">
        <v>0.76</v>
      </c>
      <c r="D17" s="30">
        <v>1</v>
      </c>
      <c r="E17" s="31">
        <v>21.2</v>
      </c>
      <c r="F17" s="24">
        <v>4.4800000000000004</v>
      </c>
      <c r="G17" s="24">
        <v>0.23</v>
      </c>
      <c r="H17" s="31">
        <v>-11.7</v>
      </c>
      <c r="I17" s="6">
        <f t="shared" si="0"/>
        <v>1</v>
      </c>
      <c r="J17" s="31">
        <v>80.599999999999994</v>
      </c>
      <c r="K17" s="31">
        <v>21.2</v>
      </c>
      <c r="L17" s="31">
        <v>16</v>
      </c>
      <c r="M17" s="6">
        <f t="shared" si="1"/>
        <v>1</v>
      </c>
      <c r="N17" s="24">
        <v>0.7</v>
      </c>
      <c r="O17" s="24">
        <v>0.66</v>
      </c>
      <c r="P17" s="24">
        <v>0.6</v>
      </c>
      <c r="Q17" s="27">
        <f>Composite!$B$4*N17+Composite!$B$5*O17+Composite!$B$6*P17</f>
        <v>0.64800000000000002</v>
      </c>
      <c r="R17" s="6">
        <f t="shared" si="2"/>
        <v>5</v>
      </c>
      <c r="S17" s="6">
        <f t="shared" si="3"/>
        <v>0</v>
      </c>
      <c r="T17" s="6">
        <f t="shared" si="4"/>
        <v>0</v>
      </c>
      <c r="U17" s="6" t="str">
        <f t="shared" si="5"/>
        <v>Green screening</v>
      </c>
    </row>
    <row r="18" spans="1:21" x14ac:dyDescent="0.25">
      <c r="A18" s="9" t="s">
        <v>289</v>
      </c>
      <c r="B18" s="9" t="s">
        <v>290</v>
      </c>
      <c r="C18" s="24">
        <v>0.86</v>
      </c>
      <c r="D18" s="30">
        <v>1</v>
      </c>
      <c r="E18" s="31">
        <v>22.9</v>
      </c>
      <c r="F18" s="24">
        <v>4.49</v>
      </c>
      <c r="G18" s="24">
        <v>0.32</v>
      </c>
      <c r="H18" s="31">
        <v>-12.9</v>
      </c>
      <c r="I18" s="6">
        <f t="shared" si="0"/>
        <v>1</v>
      </c>
      <c r="J18" s="31">
        <v>77.3</v>
      </c>
      <c r="K18" s="31">
        <v>23.4</v>
      </c>
      <c r="L18" s="31">
        <v>17.8</v>
      </c>
      <c r="M18" s="6">
        <f t="shared" si="1"/>
        <v>1</v>
      </c>
      <c r="N18" s="24">
        <v>0.62</v>
      </c>
      <c r="O18" s="24">
        <v>0.57999999999999996</v>
      </c>
      <c r="P18" s="24">
        <v>0.55000000000000004</v>
      </c>
      <c r="Q18" s="27">
        <f>Composite!$B$4*N18+Composite!$B$5*O18+Composite!$B$6*P18</f>
        <v>0.58000000000000007</v>
      </c>
      <c r="R18" s="6">
        <f t="shared" si="2"/>
        <v>6</v>
      </c>
      <c r="S18" s="6">
        <f t="shared" si="3"/>
        <v>0</v>
      </c>
      <c r="T18" s="6">
        <f t="shared" si="4"/>
        <v>0</v>
      </c>
      <c r="U18" s="6" t="str">
        <f t="shared" si="5"/>
        <v>Green screening</v>
      </c>
    </row>
    <row r="19" spans="1:21" x14ac:dyDescent="0.25">
      <c r="A19" s="9" t="s">
        <v>291</v>
      </c>
      <c r="B19" s="9" t="s">
        <v>292</v>
      </c>
      <c r="C19" s="24">
        <v>0.71</v>
      </c>
      <c r="D19" s="30">
        <v>1</v>
      </c>
      <c r="E19" s="31">
        <v>23.4</v>
      </c>
      <c r="F19" s="24">
        <v>4.6500000000000004</v>
      </c>
      <c r="G19" s="24">
        <v>0.24</v>
      </c>
      <c r="H19" s="31">
        <v>-11.4</v>
      </c>
      <c r="I19" s="6">
        <f t="shared" si="0"/>
        <v>1</v>
      </c>
      <c r="J19" s="31">
        <v>68.900000000000006</v>
      </c>
      <c r="K19" s="31">
        <v>28.7</v>
      </c>
      <c r="L19" s="31">
        <v>23.2</v>
      </c>
      <c r="M19" s="6">
        <f t="shared" si="1"/>
        <v>1</v>
      </c>
      <c r="N19" s="24">
        <v>0.57999999999999996</v>
      </c>
      <c r="O19" s="24">
        <v>0.52</v>
      </c>
      <c r="P19" s="24">
        <v>0.5</v>
      </c>
      <c r="Q19" s="27">
        <f>Composite!$B$4*N19+Composite!$B$5*O19+Composite!$B$6*P19</f>
        <v>0.53</v>
      </c>
      <c r="R19" s="6">
        <f t="shared" si="2"/>
        <v>7</v>
      </c>
      <c r="S19" s="6">
        <f t="shared" si="3"/>
        <v>0</v>
      </c>
      <c r="T19" s="6">
        <f t="shared" si="4"/>
        <v>0</v>
      </c>
      <c r="U19" s="6" t="str">
        <f t="shared" si="5"/>
        <v>Green screening</v>
      </c>
    </row>
    <row r="20" spans="1:21" x14ac:dyDescent="0.25">
      <c r="A20" s="9" t="s">
        <v>293</v>
      </c>
      <c r="B20" s="9" t="s">
        <v>294</v>
      </c>
      <c r="C20" s="24">
        <v>0.85</v>
      </c>
      <c r="D20" s="30">
        <v>1</v>
      </c>
      <c r="E20" s="31">
        <v>20.6</v>
      </c>
      <c r="F20" s="24">
        <v>4.66</v>
      </c>
      <c r="G20" s="24">
        <v>0.18</v>
      </c>
      <c r="H20" s="31">
        <v>-12.3</v>
      </c>
      <c r="I20" s="6">
        <f t="shared" si="0"/>
        <v>1</v>
      </c>
      <c r="J20" s="31">
        <v>63.2</v>
      </c>
      <c r="K20" s="31">
        <v>33.1</v>
      </c>
      <c r="L20" s="31">
        <v>26.4</v>
      </c>
      <c r="M20" s="6">
        <f t="shared" si="1"/>
        <v>1</v>
      </c>
      <c r="N20" s="24">
        <v>0.5</v>
      </c>
      <c r="O20" s="24">
        <v>0.47</v>
      </c>
      <c r="P20" s="24">
        <v>0.44</v>
      </c>
      <c r="Q20" s="27">
        <f>Composite!$B$4*N20+Composite!$B$5*O20+Composite!$B$6*P20</f>
        <v>0.46699999999999997</v>
      </c>
      <c r="R20" s="6">
        <f t="shared" si="2"/>
        <v>8</v>
      </c>
      <c r="S20" s="6">
        <f t="shared" si="3"/>
        <v>0</v>
      </c>
      <c r="T20" s="6">
        <f t="shared" si="4"/>
        <v>0</v>
      </c>
      <c r="U20" s="6" t="str">
        <f t="shared" si="5"/>
        <v>Green screening</v>
      </c>
    </row>
    <row r="21" spans="1:21" x14ac:dyDescent="0.25">
      <c r="A21" s="9" t="s">
        <v>295</v>
      </c>
      <c r="B21" s="6" t="s">
        <v>13</v>
      </c>
      <c r="C21" s="24">
        <v>0.76</v>
      </c>
      <c r="D21" s="30">
        <v>1</v>
      </c>
      <c r="E21" s="31">
        <v>23.8</v>
      </c>
      <c r="F21" s="24">
        <v>4.76</v>
      </c>
      <c r="G21" s="24">
        <v>0.26</v>
      </c>
      <c r="H21" s="31">
        <v>-8.6999999999999993</v>
      </c>
      <c r="I21" s="6">
        <f t="shared" si="0"/>
        <v>1</v>
      </c>
      <c r="J21" s="31">
        <v>55.3</v>
      </c>
      <c r="K21" s="31">
        <v>47.6</v>
      </c>
      <c r="L21" s="31">
        <v>38.700000000000003</v>
      </c>
      <c r="M21" s="6">
        <f t="shared" si="1"/>
        <v>0</v>
      </c>
      <c r="N21" s="6"/>
      <c r="O21" s="6"/>
      <c r="P21" s="6"/>
      <c r="Q21" s="6"/>
      <c r="R21" s="6" t="str">
        <f t="shared" si="2"/>
        <v/>
      </c>
      <c r="S21" s="6">
        <f t="shared" si="3"/>
        <v>0</v>
      </c>
      <c r="T21" s="6">
        <f t="shared" si="4"/>
        <v>0</v>
      </c>
      <c r="U21" s="6" t="str">
        <f t="shared" si="5"/>
        <v>DFT stage</v>
      </c>
    </row>
    <row r="22" spans="1:21" x14ac:dyDescent="0.25">
      <c r="A22" s="9" t="s">
        <v>296</v>
      </c>
      <c r="B22" s="6" t="s">
        <v>13</v>
      </c>
      <c r="C22" s="24">
        <v>0.81</v>
      </c>
      <c r="D22" s="30">
        <v>1</v>
      </c>
      <c r="E22" s="31">
        <v>28.1</v>
      </c>
      <c r="F22" s="24">
        <v>5.0199999999999996</v>
      </c>
      <c r="G22" s="24">
        <v>0.17</v>
      </c>
      <c r="H22" s="31">
        <v>-15.1</v>
      </c>
      <c r="I22" s="6">
        <f t="shared" si="0"/>
        <v>1</v>
      </c>
      <c r="J22" s="31">
        <v>54.7</v>
      </c>
      <c r="K22" s="31">
        <v>49.8</v>
      </c>
      <c r="L22" s="31">
        <v>41.8</v>
      </c>
      <c r="M22" s="6">
        <f t="shared" si="1"/>
        <v>0</v>
      </c>
      <c r="N22" s="6"/>
      <c r="O22" s="6"/>
      <c r="P22" s="6"/>
      <c r="Q22" s="6"/>
      <c r="R22" s="6" t="str">
        <f t="shared" si="2"/>
        <v/>
      </c>
      <c r="S22" s="6">
        <f t="shared" si="3"/>
        <v>0</v>
      </c>
      <c r="T22" s="6">
        <f t="shared" si="4"/>
        <v>0</v>
      </c>
      <c r="U22" s="6" t="str">
        <f t="shared" si="5"/>
        <v>DFT stage</v>
      </c>
    </row>
    <row r="23" spans="1:21" x14ac:dyDescent="0.25">
      <c r="A23" s="9" t="s">
        <v>297</v>
      </c>
      <c r="B23" s="6" t="s">
        <v>13</v>
      </c>
      <c r="C23" s="24">
        <v>0.97</v>
      </c>
      <c r="D23" s="30">
        <v>1</v>
      </c>
      <c r="E23" s="31">
        <v>30.4</v>
      </c>
      <c r="F23" s="24">
        <v>5.03</v>
      </c>
      <c r="G23" s="24">
        <v>0.17</v>
      </c>
      <c r="H23" s="31">
        <v>-8.5</v>
      </c>
      <c r="I23" s="6">
        <f t="shared" si="0"/>
        <v>1</v>
      </c>
      <c r="J23" s="31">
        <v>57.3</v>
      </c>
      <c r="K23" s="31">
        <v>42.9</v>
      </c>
      <c r="L23" s="31">
        <v>34.9</v>
      </c>
      <c r="M23" s="6">
        <f t="shared" si="1"/>
        <v>0</v>
      </c>
      <c r="N23" s="6"/>
      <c r="O23" s="6"/>
      <c r="P23" s="6"/>
      <c r="Q23" s="6"/>
      <c r="R23" s="6" t="str">
        <f t="shared" si="2"/>
        <v/>
      </c>
      <c r="S23" s="6">
        <f t="shared" si="3"/>
        <v>0</v>
      </c>
      <c r="T23" s="6">
        <f t="shared" si="4"/>
        <v>0</v>
      </c>
      <c r="U23" s="6" t="str">
        <f t="shared" si="5"/>
        <v>DFT stage</v>
      </c>
    </row>
    <row r="24" spans="1:21" x14ac:dyDescent="0.25">
      <c r="A24" s="9" t="s">
        <v>298</v>
      </c>
      <c r="B24" s="6" t="s">
        <v>13</v>
      </c>
      <c r="C24" s="24">
        <v>0.83</v>
      </c>
      <c r="D24" s="30">
        <v>1</v>
      </c>
      <c r="E24" s="31">
        <v>24.6</v>
      </c>
      <c r="F24" s="24">
        <v>5.08</v>
      </c>
      <c r="G24" s="24">
        <v>0.27</v>
      </c>
      <c r="H24" s="31">
        <v>-18.5</v>
      </c>
      <c r="I24" s="6">
        <f t="shared" si="0"/>
        <v>1</v>
      </c>
      <c r="J24" s="31">
        <v>53.1</v>
      </c>
      <c r="K24" s="31">
        <v>46.6</v>
      </c>
      <c r="L24" s="31">
        <v>38.200000000000003</v>
      </c>
      <c r="M24" s="6">
        <f t="shared" si="1"/>
        <v>0</v>
      </c>
      <c r="N24" s="6"/>
      <c r="O24" s="6"/>
      <c r="P24" s="6"/>
      <c r="Q24" s="6"/>
      <c r="R24" s="6" t="str">
        <f t="shared" si="2"/>
        <v/>
      </c>
      <c r="S24" s="6">
        <f t="shared" si="3"/>
        <v>0</v>
      </c>
      <c r="T24" s="6">
        <f t="shared" si="4"/>
        <v>0</v>
      </c>
      <c r="U24" s="6" t="str">
        <f t="shared" si="5"/>
        <v>DFT stage</v>
      </c>
    </row>
    <row r="25" spans="1:21" x14ac:dyDescent="0.25">
      <c r="A25" s="9" t="s">
        <v>299</v>
      </c>
      <c r="B25" s="6" t="s">
        <v>13</v>
      </c>
      <c r="C25" s="24">
        <v>0.88</v>
      </c>
      <c r="D25" s="30">
        <v>1</v>
      </c>
      <c r="E25" s="31">
        <v>25.1</v>
      </c>
      <c r="F25" s="24">
        <v>5.0999999999999996</v>
      </c>
      <c r="G25" s="24">
        <v>0.33</v>
      </c>
      <c r="H25" s="31">
        <v>-6.5</v>
      </c>
      <c r="I25" s="6">
        <f t="shared" si="0"/>
        <v>1</v>
      </c>
      <c r="J25" s="31">
        <v>39.4</v>
      </c>
      <c r="K25" s="31">
        <v>47.5</v>
      </c>
      <c r="L25" s="31">
        <v>38.299999999999997</v>
      </c>
      <c r="M25" s="6">
        <f t="shared" si="1"/>
        <v>0</v>
      </c>
      <c r="N25" s="6"/>
      <c r="O25" s="6"/>
      <c r="P25" s="6"/>
      <c r="Q25" s="6"/>
      <c r="R25" s="6" t="str">
        <f t="shared" si="2"/>
        <v/>
      </c>
      <c r="S25" s="6">
        <f t="shared" si="3"/>
        <v>0</v>
      </c>
      <c r="T25" s="6">
        <f t="shared" si="4"/>
        <v>0</v>
      </c>
      <c r="U25" s="6" t="str">
        <f t="shared" si="5"/>
        <v>DFT stage</v>
      </c>
    </row>
    <row r="26" spans="1:21" x14ac:dyDescent="0.25">
      <c r="A26" s="9" t="s">
        <v>300</v>
      </c>
      <c r="B26" s="6" t="s">
        <v>13</v>
      </c>
      <c r="C26" s="24">
        <v>0.96</v>
      </c>
      <c r="D26" s="30">
        <v>1</v>
      </c>
      <c r="E26" s="31">
        <v>31.7</v>
      </c>
      <c r="F26" s="24">
        <v>5.2</v>
      </c>
      <c r="G26" s="24">
        <v>0.27</v>
      </c>
      <c r="H26" s="31">
        <v>-11</v>
      </c>
      <c r="I26" s="6">
        <f t="shared" si="0"/>
        <v>1</v>
      </c>
      <c r="J26" s="31">
        <v>42.7</v>
      </c>
      <c r="K26" s="31">
        <v>54.2</v>
      </c>
      <c r="L26" s="31">
        <v>45.3</v>
      </c>
      <c r="M26" s="6">
        <f t="shared" si="1"/>
        <v>0</v>
      </c>
      <c r="N26" s="6"/>
      <c r="O26" s="6"/>
      <c r="P26" s="6"/>
      <c r="Q26" s="6"/>
      <c r="R26" s="6" t="str">
        <f t="shared" si="2"/>
        <v/>
      </c>
      <c r="S26" s="6">
        <f t="shared" si="3"/>
        <v>0</v>
      </c>
      <c r="T26" s="6">
        <f t="shared" si="4"/>
        <v>0</v>
      </c>
      <c r="U26" s="6" t="str">
        <f t="shared" si="5"/>
        <v>DFT stage</v>
      </c>
    </row>
    <row r="27" spans="1:21" x14ac:dyDescent="0.25">
      <c r="A27" s="9" t="s">
        <v>301</v>
      </c>
      <c r="B27" s="6" t="s">
        <v>13</v>
      </c>
      <c r="C27" s="24">
        <v>0.9</v>
      </c>
      <c r="D27" s="30">
        <v>1</v>
      </c>
      <c r="E27" s="31">
        <v>26.5</v>
      </c>
      <c r="F27" s="24">
        <v>5.26</v>
      </c>
      <c r="G27" s="24">
        <v>0.18</v>
      </c>
      <c r="H27" s="31">
        <v>-18.8</v>
      </c>
      <c r="I27" s="6">
        <f t="shared" si="0"/>
        <v>1</v>
      </c>
      <c r="J27" s="31">
        <v>46.8</v>
      </c>
      <c r="K27" s="31">
        <v>49.2</v>
      </c>
      <c r="L27" s="31">
        <v>42.2</v>
      </c>
      <c r="M27" s="6">
        <f t="shared" si="1"/>
        <v>0</v>
      </c>
      <c r="N27" s="6"/>
      <c r="O27" s="6"/>
      <c r="P27" s="6"/>
      <c r="Q27" s="6"/>
      <c r="R27" s="6" t="str">
        <f t="shared" si="2"/>
        <v/>
      </c>
      <c r="S27" s="6">
        <f t="shared" si="3"/>
        <v>0</v>
      </c>
      <c r="T27" s="6">
        <f t="shared" si="4"/>
        <v>0</v>
      </c>
      <c r="U27" s="6" t="str">
        <f t="shared" si="5"/>
        <v>DFT stage</v>
      </c>
    </row>
    <row r="28" spans="1:21" x14ac:dyDescent="0.25">
      <c r="A28" s="9" t="s">
        <v>302</v>
      </c>
      <c r="B28" s="6" t="s">
        <v>13</v>
      </c>
      <c r="C28" s="24">
        <v>0.75</v>
      </c>
      <c r="D28" s="30">
        <v>1</v>
      </c>
      <c r="E28" s="31">
        <v>29.9</v>
      </c>
      <c r="F28" s="24">
        <v>5.31</v>
      </c>
      <c r="G28" s="24">
        <v>0.25</v>
      </c>
      <c r="H28" s="31">
        <v>-18.2</v>
      </c>
      <c r="I28" s="6">
        <f t="shared" si="0"/>
        <v>1</v>
      </c>
      <c r="J28" s="31">
        <v>49.2</v>
      </c>
      <c r="K28" s="31">
        <v>51.9</v>
      </c>
      <c r="L28" s="31">
        <v>44.2</v>
      </c>
      <c r="M28" s="6">
        <f t="shared" si="1"/>
        <v>0</v>
      </c>
      <c r="N28" s="6"/>
      <c r="O28" s="6"/>
      <c r="P28" s="6"/>
      <c r="Q28" s="6"/>
      <c r="R28" s="6" t="str">
        <f t="shared" si="2"/>
        <v/>
      </c>
      <c r="S28" s="6">
        <f t="shared" si="3"/>
        <v>0</v>
      </c>
      <c r="T28" s="6">
        <f t="shared" si="4"/>
        <v>0</v>
      </c>
      <c r="U28" s="6" t="str">
        <f t="shared" si="5"/>
        <v>DFT stage</v>
      </c>
    </row>
    <row r="29" spans="1:21" x14ac:dyDescent="0.25">
      <c r="A29" s="9" t="s">
        <v>303</v>
      </c>
      <c r="B29" s="6" t="s">
        <v>13</v>
      </c>
      <c r="C29" s="24">
        <v>0.81</v>
      </c>
      <c r="D29" s="30">
        <v>1</v>
      </c>
      <c r="E29" s="31">
        <v>30.6</v>
      </c>
      <c r="F29" s="24">
        <v>5.36</v>
      </c>
      <c r="G29" s="24">
        <v>0.18</v>
      </c>
      <c r="H29" s="31">
        <v>-15.9</v>
      </c>
      <c r="I29" s="6">
        <f t="shared" si="0"/>
        <v>1</v>
      </c>
      <c r="J29" s="31">
        <v>41</v>
      </c>
      <c r="K29" s="31">
        <v>44.8</v>
      </c>
      <c r="L29" s="31">
        <v>38.299999999999997</v>
      </c>
      <c r="M29" s="6">
        <f t="shared" si="1"/>
        <v>0</v>
      </c>
      <c r="N29" s="6"/>
      <c r="O29" s="6"/>
      <c r="P29" s="6"/>
      <c r="Q29" s="6"/>
      <c r="R29" s="6" t="str">
        <f t="shared" si="2"/>
        <v/>
      </c>
      <c r="S29" s="6">
        <f t="shared" si="3"/>
        <v>0</v>
      </c>
      <c r="T29" s="6">
        <f t="shared" si="4"/>
        <v>0</v>
      </c>
      <c r="U29" s="6" t="str">
        <f t="shared" si="5"/>
        <v>DFT stage</v>
      </c>
    </row>
    <row r="30" spans="1:21" x14ac:dyDescent="0.25">
      <c r="A30" s="9" t="s">
        <v>304</v>
      </c>
      <c r="B30" s="6" t="s">
        <v>13</v>
      </c>
      <c r="C30" s="24">
        <v>0.8</v>
      </c>
      <c r="D30" s="30">
        <v>1</v>
      </c>
      <c r="E30" s="31">
        <v>40.5</v>
      </c>
      <c r="F30" s="24">
        <v>5.74</v>
      </c>
      <c r="G30" s="24">
        <v>0.17</v>
      </c>
      <c r="H30" s="31">
        <v>1.2</v>
      </c>
      <c r="I30" s="6">
        <f t="shared" si="0"/>
        <v>0</v>
      </c>
      <c r="J30" s="6"/>
      <c r="K30" s="6"/>
      <c r="L30" s="6"/>
      <c r="M30" s="6">
        <f t="shared" si="1"/>
        <v>0</v>
      </c>
      <c r="N30" s="6"/>
      <c r="O30" s="6"/>
      <c r="P30" s="6"/>
      <c r="Q30" s="6"/>
      <c r="R30" s="6" t="str">
        <f t="shared" si="2"/>
        <v/>
      </c>
      <c r="S30" s="6">
        <f t="shared" si="3"/>
        <v>0</v>
      </c>
      <c r="T30" s="6">
        <f t="shared" si="4"/>
        <v>0</v>
      </c>
      <c r="U30" s="6" t="str">
        <f t="shared" si="5"/>
        <v>Plausibility</v>
      </c>
    </row>
    <row r="31" spans="1:21" x14ac:dyDescent="0.25">
      <c r="A31" s="9" t="s">
        <v>305</v>
      </c>
      <c r="B31" s="6" t="s">
        <v>13</v>
      </c>
      <c r="C31" s="24">
        <v>0.91</v>
      </c>
      <c r="D31" s="30">
        <v>1</v>
      </c>
      <c r="E31" s="31">
        <v>42.5</v>
      </c>
      <c r="F31" s="24">
        <v>6.05</v>
      </c>
      <c r="G31" s="24">
        <v>0.17</v>
      </c>
      <c r="H31" s="31">
        <v>-6.1</v>
      </c>
      <c r="I31" s="6">
        <f t="shared" si="0"/>
        <v>0</v>
      </c>
      <c r="J31" s="6"/>
      <c r="K31" s="6"/>
      <c r="L31" s="6"/>
      <c r="M31" s="6">
        <f t="shared" si="1"/>
        <v>0</v>
      </c>
      <c r="N31" s="6"/>
      <c r="O31" s="6"/>
      <c r="P31" s="6"/>
      <c r="Q31" s="6"/>
      <c r="R31" s="6" t="str">
        <f t="shared" si="2"/>
        <v/>
      </c>
      <c r="S31" s="6">
        <f t="shared" si="3"/>
        <v>0</v>
      </c>
      <c r="T31" s="6">
        <f t="shared" si="4"/>
        <v>0</v>
      </c>
      <c r="U31" s="6" t="str">
        <f t="shared" si="5"/>
        <v>Plausibility</v>
      </c>
    </row>
    <row r="32" spans="1:21" x14ac:dyDescent="0.25">
      <c r="A32" s="9" t="s">
        <v>306</v>
      </c>
      <c r="B32" s="6" t="s">
        <v>13</v>
      </c>
      <c r="C32" s="24">
        <v>0.9</v>
      </c>
      <c r="D32" s="30">
        <v>1</v>
      </c>
      <c r="E32" s="31">
        <v>38.5</v>
      </c>
      <c r="F32" s="24">
        <v>6.01</v>
      </c>
      <c r="G32" s="24">
        <v>0.25</v>
      </c>
      <c r="H32" s="31">
        <v>-2.1</v>
      </c>
      <c r="I32" s="6">
        <f t="shared" si="0"/>
        <v>0</v>
      </c>
      <c r="J32" s="6"/>
      <c r="K32" s="6"/>
      <c r="L32" s="6"/>
      <c r="M32" s="6">
        <f t="shared" si="1"/>
        <v>0</v>
      </c>
      <c r="N32" s="6"/>
      <c r="O32" s="6"/>
      <c r="P32" s="6"/>
      <c r="Q32" s="6"/>
      <c r="R32" s="6" t="str">
        <f t="shared" si="2"/>
        <v/>
      </c>
      <c r="S32" s="6">
        <f t="shared" si="3"/>
        <v>0</v>
      </c>
      <c r="T32" s="6">
        <f t="shared" si="4"/>
        <v>0</v>
      </c>
      <c r="U32" s="6" t="str">
        <f t="shared" si="5"/>
        <v>Plausibility</v>
      </c>
    </row>
    <row r="33" spans="1:21" x14ac:dyDescent="0.25">
      <c r="A33" s="9" t="s">
        <v>307</v>
      </c>
      <c r="B33" s="6" t="s">
        <v>13</v>
      </c>
      <c r="C33" s="24">
        <v>0.68</v>
      </c>
      <c r="D33" s="30">
        <v>1</v>
      </c>
      <c r="E33" s="31">
        <v>43.3</v>
      </c>
      <c r="F33" s="24">
        <v>6.25</v>
      </c>
      <c r="G33" s="24">
        <v>0.15</v>
      </c>
      <c r="H33" s="31">
        <v>-9.9</v>
      </c>
      <c r="I33" s="6">
        <f t="shared" si="0"/>
        <v>0</v>
      </c>
      <c r="J33" s="6"/>
      <c r="K33" s="6"/>
      <c r="L33" s="6"/>
      <c r="M33" s="6">
        <f t="shared" si="1"/>
        <v>0</v>
      </c>
      <c r="N33" s="6"/>
      <c r="O33" s="6"/>
      <c r="P33" s="6"/>
      <c r="Q33" s="6"/>
      <c r="R33" s="6" t="str">
        <f t="shared" si="2"/>
        <v/>
      </c>
      <c r="S33" s="6">
        <f t="shared" si="3"/>
        <v>0</v>
      </c>
      <c r="T33" s="6">
        <f t="shared" si="4"/>
        <v>0</v>
      </c>
      <c r="U33" s="6" t="str">
        <f t="shared" si="5"/>
        <v>Plausibility</v>
      </c>
    </row>
    <row r="34" spans="1:21" x14ac:dyDescent="0.25">
      <c r="A34" s="9" t="s">
        <v>308</v>
      </c>
      <c r="B34" s="6" t="s">
        <v>13</v>
      </c>
      <c r="C34" s="24">
        <v>0.78</v>
      </c>
      <c r="D34" s="30">
        <v>1</v>
      </c>
      <c r="E34" s="31">
        <v>36.200000000000003</v>
      </c>
      <c r="F34" s="24">
        <v>5.9</v>
      </c>
      <c r="G34" s="24">
        <v>0.21</v>
      </c>
      <c r="H34" s="31">
        <v>-9.1999999999999993</v>
      </c>
      <c r="I34" s="6">
        <f t="shared" si="0"/>
        <v>0</v>
      </c>
      <c r="J34" s="6"/>
      <c r="K34" s="6"/>
      <c r="L34" s="6"/>
      <c r="M34" s="6">
        <f t="shared" si="1"/>
        <v>0</v>
      </c>
      <c r="N34" s="6"/>
      <c r="O34" s="6"/>
      <c r="P34" s="6"/>
      <c r="Q34" s="6"/>
      <c r="R34" s="6" t="str">
        <f t="shared" si="2"/>
        <v/>
      </c>
      <c r="S34" s="6">
        <f t="shared" si="3"/>
        <v>0</v>
      </c>
      <c r="T34" s="6">
        <f t="shared" si="4"/>
        <v>0</v>
      </c>
      <c r="U34" s="6" t="str">
        <f t="shared" si="5"/>
        <v>Plausibility</v>
      </c>
    </row>
    <row r="35" spans="1:21" x14ac:dyDescent="0.25">
      <c r="A35" s="9" t="s">
        <v>309</v>
      </c>
      <c r="B35" s="6" t="s">
        <v>13</v>
      </c>
      <c r="C35" s="24">
        <v>0.72</v>
      </c>
      <c r="D35" s="30">
        <v>1</v>
      </c>
      <c r="E35" s="31">
        <v>39.700000000000003</v>
      </c>
      <c r="F35" s="24">
        <v>6.25</v>
      </c>
      <c r="G35" s="24">
        <v>0.24</v>
      </c>
      <c r="H35" s="31">
        <v>-3.8</v>
      </c>
      <c r="I35" s="6">
        <f t="shared" si="0"/>
        <v>0</v>
      </c>
      <c r="J35" s="6"/>
      <c r="K35" s="6"/>
      <c r="L35" s="6"/>
      <c r="M35" s="6">
        <f t="shared" si="1"/>
        <v>0</v>
      </c>
      <c r="N35" s="6"/>
      <c r="O35" s="6"/>
      <c r="P35" s="6"/>
      <c r="Q35" s="6"/>
      <c r="R35" s="6" t="str">
        <f t="shared" si="2"/>
        <v/>
      </c>
      <c r="S35" s="6">
        <f t="shared" si="3"/>
        <v>0</v>
      </c>
      <c r="T35" s="6">
        <f t="shared" si="4"/>
        <v>0</v>
      </c>
      <c r="U35" s="6" t="str">
        <f t="shared" si="5"/>
        <v>Plausibility</v>
      </c>
    </row>
    <row r="36" spans="1:21" x14ac:dyDescent="0.25">
      <c r="A36" s="9" t="s">
        <v>310</v>
      </c>
      <c r="B36" s="6" t="s">
        <v>13</v>
      </c>
      <c r="C36" s="24">
        <v>0.65</v>
      </c>
      <c r="D36" s="30">
        <v>1</v>
      </c>
      <c r="E36" s="31">
        <v>37.700000000000003</v>
      </c>
      <c r="F36" s="24">
        <v>5.72</v>
      </c>
      <c r="G36" s="24">
        <v>0.24</v>
      </c>
      <c r="H36" s="31">
        <v>-5.5</v>
      </c>
      <c r="I36" s="6">
        <f t="shared" si="0"/>
        <v>0</v>
      </c>
      <c r="J36" s="6"/>
      <c r="K36" s="6"/>
      <c r="L36" s="6"/>
      <c r="M36" s="6">
        <f t="shared" si="1"/>
        <v>0</v>
      </c>
      <c r="N36" s="6"/>
      <c r="O36" s="6"/>
      <c r="P36" s="6"/>
      <c r="Q36" s="6"/>
      <c r="R36" s="6" t="str">
        <f t="shared" si="2"/>
        <v/>
      </c>
      <c r="S36" s="6">
        <f t="shared" si="3"/>
        <v>0</v>
      </c>
      <c r="T36" s="6">
        <f t="shared" si="4"/>
        <v>0</v>
      </c>
      <c r="U36" s="6" t="str">
        <f t="shared" si="5"/>
        <v>Plausibility</v>
      </c>
    </row>
    <row r="37" spans="1:21" x14ac:dyDescent="0.25">
      <c r="A37" s="9" t="s">
        <v>311</v>
      </c>
      <c r="B37" s="6" t="s">
        <v>13</v>
      </c>
      <c r="C37" s="24">
        <v>0.83</v>
      </c>
      <c r="D37" s="30">
        <v>1</v>
      </c>
      <c r="E37" s="31">
        <v>39.799999999999997</v>
      </c>
      <c r="F37" s="24">
        <v>6.34</v>
      </c>
      <c r="G37" s="24">
        <v>0.11</v>
      </c>
      <c r="H37" s="31">
        <v>-6.4</v>
      </c>
      <c r="I37" s="6">
        <f t="shared" si="0"/>
        <v>0</v>
      </c>
      <c r="J37" s="6"/>
      <c r="K37" s="6"/>
      <c r="L37" s="6"/>
      <c r="M37" s="6">
        <f t="shared" si="1"/>
        <v>0</v>
      </c>
      <c r="N37" s="6"/>
      <c r="O37" s="6"/>
      <c r="P37" s="6"/>
      <c r="Q37" s="6"/>
      <c r="R37" s="6" t="str">
        <f t="shared" si="2"/>
        <v/>
      </c>
      <c r="S37" s="6">
        <f t="shared" si="3"/>
        <v>0</v>
      </c>
      <c r="T37" s="6">
        <f t="shared" si="4"/>
        <v>0</v>
      </c>
      <c r="U37" s="6" t="str">
        <f t="shared" si="5"/>
        <v>Plausibility</v>
      </c>
    </row>
    <row r="38" spans="1:21" x14ac:dyDescent="0.25">
      <c r="A38" s="9" t="s">
        <v>312</v>
      </c>
      <c r="B38" s="6" t="s">
        <v>13</v>
      </c>
      <c r="C38" s="24">
        <v>0.85</v>
      </c>
      <c r="D38" s="30">
        <v>1</v>
      </c>
      <c r="E38" s="31">
        <v>38.4</v>
      </c>
      <c r="F38" s="24">
        <v>6.21</v>
      </c>
      <c r="G38" s="24">
        <v>0.11</v>
      </c>
      <c r="H38" s="31">
        <v>-10</v>
      </c>
      <c r="I38" s="6">
        <f t="shared" si="0"/>
        <v>0</v>
      </c>
      <c r="J38" s="6"/>
      <c r="K38" s="6"/>
      <c r="L38" s="6"/>
      <c r="M38" s="6">
        <f t="shared" si="1"/>
        <v>0</v>
      </c>
      <c r="N38" s="6"/>
      <c r="O38" s="6"/>
      <c r="P38" s="6"/>
      <c r="Q38" s="6"/>
      <c r="R38" s="6" t="str">
        <f t="shared" si="2"/>
        <v/>
      </c>
      <c r="S38" s="6">
        <f t="shared" si="3"/>
        <v>0</v>
      </c>
      <c r="T38" s="6">
        <f t="shared" si="4"/>
        <v>0</v>
      </c>
      <c r="U38" s="6" t="str">
        <f t="shared" si="5"/>
        <v>Plausibility</v>
      </c>
    </row>
    <row r="39" spans="1:21" x14ac:dyDescent="0.25">
      <c r="A39" s="9" t="s">
        <v>313</v>
      </c>
      <c r="B39" s="6" t="s">
        <v>13</v>
      </c>
      <c r="C39" s="24">
        <v>0.83</v>
      </c>
      <c r="D39" s="30">
        <v>1</v>
      </c>
      <c r="E39" s="31">
        <v>43.8</v>
      </c>
      <c r="F39" s="24">
        <v>6.33</v>
      </c>
      <c r="G39" s="24">
        <v>0.12</v>
      </c>
      <c r="H39" s="31">
        <v>-9.6</v>
      </c>
      <c r="I39" s="6">
        <f t="shared" si="0"/>
        <v>0</v>
      </c>
      <c r="J39" s="6"/>
      <c r="K39" s="6"/>
      <c r="L39" s="6"/>
      <c r="M39" s="6">
        <f t="shared" si="1"/>
        <v>0</v>
      </c>
      <c r="N39" s="6"/>
      <c r="O39" s="6"/>
      <c r="P39" s="6"/>
      <c r="Q39" s="6"/>
      <c r="R39" s="6" t="str">
        <f t="shared" si="2"/>
        <v/>
      </c>
      <c r="S39" s="6">
        <f t="shared" si="3"/>
        <v>0</v>
      </c>
      <c r="T39" s="6">
        <f t="shared" si="4"/>
        <v>0</v>
      </c>
      <c r="U39" s="6" t="str">
        <f t="shared" si="5"/>
        <v>Plausibility</v>
      </c>
    </row>
    <row r="40" spans="1:21" x14ac:dyDescent="0.25">
      <c r="A40" s="9" t="s">
        <v>314</v>
      </c>
      <c r="B40" s="6" t="s">
        <v>13</v>
      </c>
      <c r="C40" s="24">
        <v>0.9</v>
      </c>
      <c r="D40" s="30">
        <v>1</v>
      </c>
      <c r="E40" s="31">
        <v>36.1</v>
      </c>
      <c r="F40" s="24">
        <v>5.78</v>
      </c>
      <c r="G40" s="24">
        <v>0.22</v>
      </c>
      <c r="H40" s="31">
        <v>-11.9</v>
      </c>
      <c r="I40" s="6">
        <f t="shared" si="0"/>
        <v>0</v>
      </c>
      <c r="J40" s="6"/>
      <c r="K40" s="6"/>
      <c r="L40" s="6"/>
      <c r="M40" s="6">
        <f t="shared" si="1"/>
        <v>0</v>
      </c>
      <c r="N40" s="6"/>
      <c r="O40" s="6"/>
      <c r="P40" s="6"/>
      <c r="Q40" s="6"/>
      <c r="R40" s="6" t="str">
        <f t="shared" si="2"/>
        <v/>
      </c>
      <c r="S40" s="6">
        <f t="shared" si="3"/>
        <v>0</v>
      </c>
      <c r="T40" s="6">
        <f t="shared" si="4"/>
        <v>0</v>
      </c>
      <c r="U40" s="6" t="str">
        <f t="shared" si="5"/>
        <v>Plausibility</v>
      </c>
    </row>
    <row r="41" spans="1:21" x14ac:dyDescent="0.25">
      <c r="A41" s="9" t="s">
        <v>315</v>
      </c>
      <c r="B41" s="6" t="s">
        <v>13</v>
      </c>
      <c r="C41" s="24">
        <v>0.85</v>
      </c>
      <c r="D41" s="30">
        <v>1</v>
      </c>
      <c r="E41" s="31">
        <v>40.4</v>
      </c>
      <c r="F41" s="24">
        <v>6.07</v>
      </c>
      <c r="G41" s="24">
        <v>0.13</v>
      </c>
      <c r="H41" s="31">
        <v>-5.2</v>
      </c>
      <c r="I41" s="6">
        <f t="shared" si="0"/>
        <v>0</v>
      </c>
      <c r="J41" s="6"/>
      <c r="K41" s="6"/>
      <c r="L41" s="6"/>
      <c r="M41" s="6">
        <f t="shared" si="1"/>
        <v>0</v>
      </c>
      <c r="N41" s="6"/>
      <c r="O41" s="6"/>
      <c r="P41" s="6"/>
      <c r="Q41" s="6"/>
      <c r="R41" s="6" t="str">
        <f t="shared" si="2"/>
        <v/>
      </c>
      <c r="S41" s="6">
        <f t="shared" si="3"/>
        <v>0</v>
      </c>
      <c r="T41" s="6">
        <f t="shared" si="4"/>
        <v>0</v>
      </c>
      <c r="U41" s="6" t="str">
        <f t="shared" si="5"/>
        <v>Plausibility</v>
      </c>
    </row>
    <row r="42" spans="1:21" x14ac:dyDescent="0.25">
      <c r="A42" s="9" t="s">
        <v>316</v>
      </c>
      <c r="B42" s="6" t="s">
        <v>13</v>
      </c>
      <c r="C42" s="24">
        <v>0.92</v>
      </c>
      <c r="D42" s="30">
        <v>1</v>
      </c>
      <c r="E42" s="31">
        <v>42.5</v>
      </c>
      <c r="F42" s="24">
        <v>5.8</v>
      </c>
      <c r="G42" s="24">
        <v>0.12</v>
      </c>
      <c r="H42" s="31">
        <v>-6.4</v>
      </c>
      <c r="I42" s="6">
        <f t="shared" si="0"/>
        <v>0</v>
      </c>
      <c r="J42" s="6"/>
      <c r="K42" s="6"/>
      <c r="L42" s="6"/>
      <c r="M42" s="6">
        <f t="shared" si="1"/>
        <v>0</v>
      </c>
      <c r="N42" s="6"/>
      <c r="O42" s="6"/>
      <c r="P42" s="6"/>
      <c r="Q42" s="6"/>
      <c r="R42" s="6" t="str">
        <f t="shared" si="2"/>
        <v/>
      </c>
      <c r="S42" s="6">
        <f t="shared" si="3"/>
        <v>0</v>
      </c>
      <c r="T42" s="6">
        <f t="shared" si="4"/>
        <v>0</v>
      </c>
      <c r="U42" s="6" t="str">
        <f t="shared" si="5"/>
        <v>Plausibility</v>
      </c>
    </row>
    <row r="43" spans="1:21" x14ac:dyDescent="0.25">
      <c r="A43" s="9" t="s">
        <v>317</v>
      </c>
      <c r="B43" s="6" t="s">
        <v>13</v>
      </c>
      <c r="C43" s="24">
        <v>0.61</v>
      </c>
      <c r="D43" s="30">
        <v>0</v>
      </c>
      <c r="E43" s="6"/>
      <c r="F43" s="6"/>
      <c r="G43" s="6"/>
      <c r="H43" s="6"/>
      <c r="I43" s="6">
        <f t="shared" si="0"/>
        <v>0</v>
      </c>
      <c r="J43" s="6"/>
      <c r="K43" s="6"/>
      <c r="L43" s="6"/>
      <c r="M43" s="6">
        <f t="shared" si="1"/>
        <v>0</v>
      </c>
      <c r="N43" s="6"/>
      <c r="O43" s="6"/>
      <c r="P43" s="6"/>
      <c r="Q43" s="6"/>
      <c r="R43" s="6" t="str">
        <f t="shared" si="2"/>
        <v/>
      </c>
      <c r="S43" s="6">
        <f t="shared" si="3"/>
        <v>0</v>
      </c>
      <c r="T43" s="6">
        <f t="shared" si="4"/>
        <v>0</v>
      </c>
      <c r="U43" s="6" t="str">
        <f t="shared" si="5"/>
        <v>AI only</v>
      </c>
    </row>
    <row r="44" spans="1:21" x14ac:dyDescent="0.25">
      <c r="A44" s="9" t="s">
        <v>318</v>
      </c>
      <c r="B44" s="6" t="s">
        <v>13</v>
      </c>
      <c r="C44" s="24">
        <v>0.81</v>
      </c>
      <c r="D44" s="30">
        <v>0</v>
      </c>
      <c r="E44" s="6"/>
      <c r="F44" s="6"/>
      <c r="G44" s="6"/>
      <c r="H44" s="6"/>
      <c r="I44" s="6">
        <f t="shared" si="0"/>
        <v>0</v>
      </c>
      <c r="J44" s="6"/>
      <c r="K44" s="6"/>
      <c r="L44" s="6"/>
      <c r="M44" s="6">
        <f t="shared" si="1"/>
        <v>0</v>
      </c>
      <c r="N44" s="6"/>
      <c r="O44" s="6"/>
      <c r="P44" s="6"/>
      <c r="Q44" s="6"/>
      <c r="R44" s="6" t="str">
        <f t="shared" si="2"/>
        <v/>
      </c>
      <c r="S44" s="6">
        <f t="shared" si="3"/>
        <v>0</v>
      </c>
      <c r="T44" s="6">
        <f t="shared" si="4"/>
        <v>0</v>
      </c>
      <c r="U44" s="6" t="str">
        <f t="shared" si="5"/>
        <v>AI only</v>
      </c>
    </row>
    <row r="45" spans="1:21" x14ac:dyDescent="0.25">
      <c r="A45" s="9" t="s">
        <v>319</v>
      </c>
      <c r="B45" s="6" t="s">
        <v>13</v>
      </c>
      <c r="C45" s="24">
        <v>0.61</v>
      </c>
      <c r="D45" s="30">
        <v>0</v>
      </c>
      <c r="E45" s="6"/>
      <c r="F45" s="6"/>
      <c r="G45" s="6"/>
      <c r="H45" s="6"/>
      <c r="I45" s="6">
        <f t="shared" si="0"/>
        <v>0</v>
      </c>
      <c r="J45" s="6"/>
      <c r="K45" s="6"/>
      <c r="L45" s="6"/>
      <c r="M45" s="6">
        <f t="shared" si="1"/>
        <v>0</v>
      </c>
      <c r="N45" s="6"/>
      <c r="O45" s="6"/>
      <c r="P45" s="6"/>
      <c r="Q45" s="6"/>
      <c r="R45" s="6" t="str">
        <f t="shared" si="2"/>
        <v/>
      </c>
      <c r="S45" s="6">
        <f t="shared" si="3"/>
        <v>0</v>
      </c>
      <c r="T45" s="6">
        <f t="shared" si="4"/>
        <v>0</v>
      </c>
      <c r="U45" s="6" t="str">
        <f t="shared" si="5"/>
        <v>AI only</v>
      </c>
    </row>
    <row r="46" spans="1:21" x14ac:dyDescent="0.25">
      <c r="A46" s="9" t="s">
        <v>320</v>
      </c>
      <c r="B46" s="6" t="s">
        <v>13</v>
      </c>
      <c r="C46" s="24">
        <v>0.64</v>
      </c>
      <c r="D46" s="30">
        <v>0</v>
      </c>
      <c r="E46" s="6"/>
      <c r="F46" s="6"/>
      <c r="G46" s="6"/>
      <c r="H46" s="6"/>
      <c r="I46" s="6">
        <f t="shared" si="0"/>
        <v>0</v>
      </c>
      <c r="J46" s="6"/>
      <c r="K46" s="6"/>
      <c r="L46" s="6"/>
      <c r="M46" s="6">
        <f t="shared" si="1"/>
        <v>0</v>
      </c>
      <c r="N46" s="6"/>
      <c r="O46" s="6"/>
      <c r="P46" s="6"/>
      <c r="Q46" s="6"/>
      <c r="R46" s="6" t="str">
        <f t="shared" si="2"/>
        <v/>
      </c>
      <c r="S46" s="6">
        <f t="shared" si="3"/>
        <v>0</v>
      </c>
      <c r="T46" s="6">
        <f t="shared" si="4"/>
        <v>0</v>
      </c>
      <c r="U46" s="6" t="str">
        <f t="shared" si="5"/>
        <v>AI only</v>
      </c>
    </row>
    <row r="47" spans="1:21" x14ac:dyDescent="0.25">
      <c r="A47" s="9" t="s">
        <v>321</v>
      </c>
      <c r="B47" s="6" t="s">
        <v>13</v>
      </c>
      <c r="C47" s="24">
        <v>0.81</v>
      </c>
      <c r="D47" s="30">
        <v>0</v>
      </c>
      <c r="E47" s="6"/>
      <c r="F47" s="6"/>
      <c r="G47" s="6"/>
      <c r="H47" s="6"/>
      <c r="I47" s="6">
        <f t="shared" si="0"/>
        <v>0</v>
      </c>
      <c r="J47" s="6"/>
      <c r="K47" s="6"/>
      <c r="L47" s="6"/>
      <c r="M47" s="6">
        <f t="shared" si="1"/>
        <v>0</v>
      </c>
      <c r="N47" s="6"/>
      <c r="O47" s="6"/>
      <c r="P47" s="6"/>
      <c r="Q47" s="6"/>
      <c r="R47" s="6" t="str">
        <f t="shared" si="2"/>
        <v/>
      </c>
      <c r="S47" s="6">
        <f t="shared" si="3"/>
        <v>0</v>
      </c>
      <c r="T47" s="6">
        <f t="shared" si="4"/>
        <v>0</v>
      </c>
      <c r="U47" s="6" t="str">
        <f t="shared" si="5"/>
        <v>AI only</v>
      </c>
    </row>
    <row r="48" spans="1:21" x14ac:dyDescent="0.25">
      <c r="A48" s="9" t="s">
        <v>322</v>
      </c>
      <c r="B48" s="6" t="s">
        <v>13</v>
      </c>
      <c r="C48" s="24">
        <v>0.83</v>
      </c>
      <c r="D48" s="30">
        <v>0</v>
      </c>
      <c r="E48" s="6"/>
      <c r="F48" s="6"/>
      <c r="G48" s="6"/>
      <c r="H48" s="6"/>
      <c r="I48" s="6">
        <f t="shared" si="0"/>
        <v>0</v>
      </c>
      <c r="J48" s="6"/>
      <c r="K48" s="6"/>
      <c r="L48" s="6"/>
      <c r="M48" s="6">
        <f t="shared" si="1"/>
        <v>0</v>
      </c>
      <c r="N48" s="6"/>
      <c r="O48" s="6"/>
      <c r="P48" s="6"/>
      <c r="Q48" s="6"/>
      <c r="R48" s="6" t="str">
        <f t="shared" si="2"/>
        <v/>
      </c>
      <c r="S48" s="6">
        <f t="shared" si="3"/>
        <v>0</v>
      </c>
      <c r="T48" s="6">
        <f t="shared" si="4"/>
        <v>0</v>
      </c>
      <c r="U48" s="6" t="str">
        <f t="shared" si="5"/>
        <v>AI only</v>
      </c>
    </row>
    <row r="49" spans="1:21" x14ac:dyDescent="0.25">
      <c r="A49" s="9" t="s">
        <v>323</v>
      </c>
      <c r="B49" s="6" t="s">
        <v>13</v>
      </c>
      <c r="C49" s="24">
        <v>0.67</v>
      </c>
      <c r="D49" s="30">
        <v>0</v>
      </c>
      <c r="E49" s="6"/>
      <c r="F49" s="6"/>
      <c r="G49" s="6"/>
      <c r="H49" s="6"/>
      <c r="I49" s="6">
        <f t="shared" si="0"/>
        <v>0</v>
      </c>
      <c r="J49" s="6"/>
      <c r="K49" s="6"/>
      <c r="L49" s="6"/>
      <c r="M49" s="6">
        <f t="shared" si="1"/>
        <v>0</v>
      </c>
      <c r="N49" s="6"/>
      <c r="O49" s="6"/>
      <c r="P49" s="6"/>
      <c r="Q49" s="6"/>
      <c r="R49" s="6" t="str">
        <f t="shared" si="2"/>
        <v/>
      </c>
      <c r="S49" s="6">
        <f t="shared" si="3"/>
        <v>0</v>
      </c>
      <c r="T49" s="6">
        <f t="shared" si="4"/>
        <v>0</v>
      </c>
      <c r="U49" s="6" t="str">
        <f t="shared" si="5"/>
        <v>AI only</v>
      </c>
    </row>
    <row r="50" spans="1:21" x14ac:dyDescent="0.25">
      <c r="A50" s="9" t="s">
        <v>324</v>
      </c>
      <c r="B50" s="6" t="s">
        <v>13</v>
      </c>
      <c r="C50" s="24">
        <v>0.66</v>
      </c>
      <c r="D50" s="30">
        <v>0</v>
      </c>
      <c r="E50" s="6"/>
      <c r="F50" s="6"/>
      <c r="G50" s="6"/>
      <c r="H50" s="6"/>
      <c r="I50" s="6">
        <f t="shared" si="0"/>
        <v>0</v>
      </c>
      <c r="J50" s="6"/>
      <c r="K50" s="6"/>
      <c r="L50" s="6"/>
      <c r="M50" s="6">
        <f t="shared" si="1"/>
        <v>0</v>
      </c>
      <c r="N50" s="6"/>
      <c r="O50" s="6"/>
      <c r="P50" s="6"/>
      <c r="Q50" s="6"/>
      <c r="R50" s="6" t="str">
        <f t="shared" si="2"/>
        <v/>
      </c>
      <c r="S50" s="6">
        <f t="shared" si="3"/>
        <v>0</v>
      </c>
      <c r="T50" s="6">
        <f t="shared" si="4"/>
        <v>0</v>
      </c>
      <c r="U50" s="6" t="str">
        <f t="shared" si="5"/>
        <v>AI only</v>
      </c>
    </row>
    <row r="51" spans="1:21" x14ac:dyDescent="0.25">
      <c r="A51" s="9" t="s">
        <v>325</v>
      </c>
      <c r="B51" s="6" t="s">
        <v>13</v>
      </c>
      <c r="C51" s="24">
        <v>0.64</v>
      </c>
      <c r="D51" s="30">
        <v>0</v>
      </c>
      <c r="E51" s="6"/>
      <c r="F51" s="6"/>
      <c r="G51" s="6"/>
      <c r="H51" s="6"/>
      <c r="I51" s="6">
        <f t="shared" si="0"/>
        <v>0</v>
      </c>
      <c r="J51" s="6"/>
      <c r="K51" s="6"/>
      <c r="L51" s="6"/>
      <c r="M51" s="6">
        <f t="shared" si="1"/>
        <v>0</v>
      </c>
      <c r="N51" s="6"/>
      <c r="O51" s="6"/>
      <c r="P51" s="6"/>
      <c r="Q51" s="6"/>
      <c r="R51" s="6" t="str">
        <f t="shared" si="2"/>
        <v/>
      </c>
      <c r="S51" s="6">
        <f t="shared" si="3"/>
        <v>0</v>
      </c>
      <c r="T51" s="6">
        <f t="shared" si="4"/>
        <v>0</v>
      </c>
      <c r="U51" s="6" t="str">
        <f t="shared" si="5"/>
        <v>AI only</v>
      </c>
    </row>
    <row r="52" spans="1:21" x14ac:dyDescent="0.25">
      <c r="A52" s="9" t="s">
        <v>326</v>
      </c>
      <c r="B52" s="6" t="s">
        <v>13</v>
      </c>
      <c r="C52" s="24">
        <v>0.62</v>
      </c>
      <c r="D52" s="30">
        <v>0</v>
      </c>
      <c r="E52" s="6"/>
      <c r="F52" s="6"/>
      <c r="G52" s="6"/>
      <c r="H52" s="6"/>
      <c r="I52" s="6">
        <f t="shared" si="0"/>
        <v>0</v>
      </c>
      <c r="J52" s="6"/>
      <c r="K52" s="6"/>
      <c r="L52" s="6"/>
      <c r="M52" s="6">
        <f t="shared" si="1"/>
        <v>0</v>
      </c>
      <c r="N52" s="6"/>
      <c r="O52" s="6"/>
      <c r="P52" s="6"/>
      <c r="Q52" s="6"/>
      <c r="R52" s="6" t="str">
        <f t="shared" si="2"/>
        <v/>
      </c>
      <c r="S52" s="6">
        <f t="shared" si="3"/>
        <v>0</v>
      </c>
      <c r="T52" s="6">
        <f t="shared" si="4"/>
        <v>0</v>
      </c>
      <c r="U52" s="6" t="str">
        <f t="shared" si="5"/>
        <v>AI only</v>
      </c>
    </row>
    <row r="53" spans="1:21" x14ac:dyDescent="0.25">
      <c r="A53" s="9" t="s">
        <v>327</v>
      </c>
      <c r="B53" s="6" t="s">
        <v>13</v>
      </c>
      <c r="C53" s="24">
        <v>0.74</v>
      </c>
      <c r="D53" s="30">
        <v>0</v>
      </c>
      <c r="E53" s="6"/>
      <c r="F53" s="6"/>
      <c r="G53" s="6"/>
      <c r="H53" s="6"/>
      <c r="I53" s="6">
        <f t="shared" si="0"/>
        <v>0</v>
      </c>
      <c r="J53" s="6"/>
      <c r="K53" s="6"/>
      <c r="L53" s="6"/>
      <c r="M53" s="6">
        <f t="shared" si="1"/>
        <v>0</v>
      </c>
      <c r="N53" s="6"/>
      <c r="O53" s="6"/>
      <c r="P53" s="6"/>
      <c r="Q53" s="6"/>
      <c r="R53" s="6" t="str">
        <f t="shared" si="2"/>
        <v/>
      </c>
      <c r="S53" s="6">
        <f t="shared" si="3"/>
        <v>0</v>
      </c>
      <c r="T53" s="6">
        <f t="shared" si="4"/>
        <v>0</v>
      </c>
      <c r="U53" s="6" t="str">
        <f t="shared" si="5"/>
        <v>AI only</v>
      </c>
    </row>
    <row r="54" spans="1:21" x14ac:dyDescent="0.25">
      <c r="A54" s="9" t="s">
        <v>328</v>
      </c>
      <c r="B54" s="6" t="s">
        <v>13</v>
      </c>
      <c r="C54" s="24">
        <v>0.83</v>
      </c>
      <c r="D54" s="30">
        <v>0</v>
      </c>
      <c r="E54" s="6"/>
      <c r="F54" s="6"/>
      <c r="G54" s="6"/>
      <c r="H54" s="6"/>
      <c r="I54" s="6">
        <f t="shared" si="0"/>
        <v>0</v>
      </c>
      <c r="J54" s="6"/>
      <c r="K54" s="6"/>
      <c r="L54" s="6"/>
      <c r="M54" s="6">
        <f t="shared" si="1"/>
        <v>0</v>
      </c>
      <c r="N54" s="6"/>
      <c r="O54" s="6"/>
      <c r="P54" s="6"/>
      <c r="Q54" s="6"/>
      <c r="R54" s="6" t="str">
        <f t="shared" si="2"/>
        <v/>
      </c>
      <c r="S54" s="6">
        <f t="shared" si="3"/>
        <v>0</v>
      </c>
      <c r="T54" s="6">
        <f t="shared" si="4"/>
        <v>0</v>
      </c>
      <c r="U54" s="6" t="str">
        <f t="shared" si="5"/>
        <v>AI only</v>
      </c>
    </row>
    <row r="55" spans="1:21" x14ac:dyDescent="0.25">
      <c r="A55" s="9" t="s">
        <v>329</v>
      </c>
      <c r="B55" s="6" t="s">
        <v>13</v>
      </c>
      <c r="C55" s="24">
        <v>0.64</v>
      </c>
      <c r="D55" s="30">
        <v>0</v>
      </c>
      <c r="E55" s="6"/>
      <c r="F55" s="6"/>
      <c r="G55" s="6"/>
      <c r="H55" s="6"/>
      <c r="I55" s="6">
        <f t="shared" si="0"/>
        <v>0</v>
      </c>
      <c r="J55" s="6"/>
      <c r="K55" s="6"/>
      <c r="L55" s="6"/>
      <c r="M55" s="6">
        <f t="shared" si="1"/>
        <v>0</v>
      </c>
      <c r="N55" s="6"/>
      <c r="O55" s="6"/>
      <c r="P55" s="6"/>
      <c r="Q55" s="6"/>
      <c r="R55" s="6" t="str">
        <f t="shared" si="2"/>
        <v/>
      </c>
      <c r="S55" s="6">
        <f t="shared" si="3"/>
        <v>0</v>
      </c>
      <c r="T55" s="6">
        <f t="shared" si="4"/>
        <v>0</v>
      </c>
      <c r="U55" s="6" t="str">
        <f t="shared" si="5"/>
        <v>AI only</v>
      </c>
    </row>
    <row r="56" spans="1:21" x14ac:dyDescent="0.25">
      <c r="A56" s="9" t="s">
        <v>330</v>
      </c>
      <c r="B56" s="6" t="s">
        <v>13</v>
      </c>
      <c r="C56" s="24">
        <v>0.61</v>
      </c>
      <c r="D56" s="30">
        <v>0</v>
      </c>
      <c r="E56" s="6"/>
      <c r="F56" s="6"/>
      <c r="G56" s="6"/>
      <c r="H56" s="6"/>
      <c r="I56" s="6">
        <f t="shared" si="0"/>
        <v>0</v>
      </c>
      <c r="J56" s="6"/>
      <c r="K56" s="6"/>
      <c r="L56" s="6"/>
      <c r="M56" s="6">
        <f t="shared" si="1"/>
        <v>0</v>
      </c>
      <c r="N56" s="6"/>
      <c r="O56" s="6"/>
      <c r="P56" s="6"/>
      <c r="Q56" s="6"/>
      <c r="R56" s="6" t="str">
        <f t="shared" si="2"/>
        <v/>
      </c>
      <c r="S56" s="6">
        <f t="shared" si="3"/>
        <v>0</v>
      </c>
      <c r="T56" s="6">
        <f t="shared" si="4"/>
        <v>0</v>
      </c>
      <c r="U56" s="6" t="str">
        <f t="shared" si="5"/>
        <v>AI only</v>
      </c>
    </row>
    <row r="57" spans="1:21" x14ac:dyDescent="0.25">
      <c r="A57" s="9" t="s">
        <v>331</v>
      </c>
      <c r="B57" s="6" t="s">
        <v>13</v>
      </c>
      <c r="C57" s="24">
        <v>0.83</v>
      </c>
      <c r="D57" s="30">
        <v>0</v>
      </c>
      <c r="E57" s="6"/>
      <c r="F57" s="6"/>
      <c r="G57" s="6"/>
      <c r="H57" s="6"/>
      <c r="I57" s="6">
        <f t="shared" si="0"/>
        <v>0</v>
      </c>
      <c r="J57" s="6"/>
      <c r="K57" s="6"/>
      <c r="L57" s="6"/>
      <c r="M57" s="6">
        <f t="shared" si="1"/>
        <v>0</v>
      </c>
      <c r="N57" s="6"/>
      <c r="O57" s="6"/>
      <c r="P57" s="6"/>
      <c r="Q57" s="6"/>
      <c r="R57" s="6" t="str">
        <f t="shared" si="2"/>
        <v/>
      </c>
      <c r="S57" s="6">
        <f t="shared" si="3"/>
        <v>0</v>
      </c>
      <c r="T57" s="6">
        <f t="shared" si="4"/>
        <v>0</v>
      </c>
      <c r="U57" s="6" t="str">
        <f t="shared" si="5"/>
        <v>AI only</v>
      </c>
    </row>
    <row r="58" spans="1:21" x14ac:dyDescent="0.25">
      <c r="A58" s="9" t="s">
        <v>332</v>
      </c>
      <c r="B58" s="6" t="s">
        <v>13</v>
      </c>
      <c r="C58" s="24">
        <v>0.62</v>
      </c>
      <c r="D58" s="30">
        <v>0</v>
      </c>
      <c r="E58" s="6"/>
      <c r="F58" s="6"/>
      <c r="G58" s="6"/>
      <c r="H58" s="6"/>
      <c r="I58" s="6">
        <f t="shared" si="0"/>
        <v>0</v>
      </c>
      <c r="J58" s="6"/>
      <c r="K58" s="6"/>
      <c r="L58" s="6"/>
      <c r="M58" s="6">
        <f t="shared" si="1"/>
        <v>0</v>
      </c>
      <c r="N58" s="6"/>
      <c r="O58" s="6"/>
      <c r="P58" s="6"/>
      <c r="Q58" s="6"/>
      <c r="R58" s="6" t="str">
        <f t="shared" si="2"/>
        <v/>
      </c>
      <c r="S58" s="6">
        <f t="shared" si="3"/>
        <v>0</v>
      </c>
      <c r="T58" s="6">
        <f t="shared" si="4"/>
        <v>0</v>
      </c>
      <c r="U58" s="6" t="str">
        <f t="shared" si="5"/>
        <v>AI only</v>
      </c>
    </row>
    <row r="59" spans="1:21" x14ac:dyDescent="0.25">
      <c r="A59" s="9" t="s">
        <v>333</v>
      </c>
      <c r="B59" s="6" t="s">
        <v>13</v>
      </c>
      <c r="C59" s="24">
        <v>0.81</v>
      </c>
      <c r="D59" s="30">
        <v>0</v>
      </c>
      <c r="E59" s="6"/>
      <c r="F59" s="6"/>
      <c r="G59" s="6"/>
      <c r="H59" s="6"/>
      <c r="I59" s="6">
        <f t="shared" si="0"/>
        <v>0</v>
      </c>
      <c r="J59" s="6"/>
      <c r="K59" s="6"/>
      <c r="L59" s="6"/>
      <c r="M59" s="6">
        <f t="shared" si="1"/>
        <v>0</v>
      </c>
      <c r="N59" s="6"/>
      <c r="O59" s="6"/>
      <c r="P59" s="6"/>
      <c r="Q59" s="6"/>
      <c r="R59" s="6" t="str">
        <f t="shared" si="2"/>
        <v/>
      </c>
      <c r="S59" s="6">
        <f t="shared" si="3"/>
        <v>0</v>
      </c>
      <c r="T59" s="6">
        <f t="shared" si="4"/>
        <v>0</v>
      </c>
      <c r="U59" s="6" t="str">
        <f t="shared" si="5"/>
        <v>AI only</v>
      </c>
    </row>
    <row r="61" spans="1:21" x14ac:dyDescent="0.25">
      <c r="A61" s="9" t="s">
        <v>334</v>
      </c>
    </row>
    <row r="62" spans="1:21" ht="27.75" customHeight="1" x14ac:dyDescent="0.25"/>
    <row r="63" spans="1:21" ht="27.75" customHeight="1" x14ac:dyDescent="0.25"/>
    <row r="64" spans="1:21" ht="27.75" customHeight="1" x14ac:dyDescent="0.25"/>
    <row r="65" ht="27.75" customHeight="1" x14ac:dyDescent="0.25"/>
    <row r="66" ht="27.75" customHeight="1" x14ac:dyDescent="0.25"/>
  </sheetData>
  <mergeCells count="1">
    <mergeCell ref="A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46" customWidth="1"/>
    <col min="2" max="2" width="24" customWidth="1"/>
    <col min="3" max="3" width="16" customWidth="1"/>
    <col min="4" max="4" width="22" customWidth="1"/>
    <col min="5" max="5" width="70" customWidth="1"/>
  </cols>
  <sheetData>
    <row r="1" spans="1:5" ht="18" x14ac:dyDescent="0.25">
      <c r="A1" s="1"/>
    </row>
    <row r="3" spans="1:5" ht="31.5" customHeight="1" x14ac:dyDescent="0.25">
      <c r="A3" s="4" t="s">
        <v>103</v>
      </c>
      <c r="B3" s="4" t="s">
        <v>335</v>
      </c>
      <c r="C3" s="4" t="s">
        <v>336</v>
      </c>
      <c r="D3" s="4" t="s">
        <v>337</v>
      </c>
      <c r="E3" s="4" t="s">
        <v>338</v>
      </c>
    </row>
    <row r="4" spans="1:5" x14ac:dyDescent="0.25">
      <c r="A4" s="6" t="s">
        <v>339</v>
      </c>
      <c r="B4" s="18">
        <f>COUNTA(Pathways_48!A12:A59)</f>
        <v>48</v>
      </c>
      <c r="C4" s="22">
        <f>Funnel!C4</f>
        <v>48</v>
      </c>
      <c r="D4" s="6" t="str">
        <f t="shared" ref="D4:D39" si="0">IF(ISNUMBER(B4),IF(ROUND(B4,2)=ROUND(C4,2),"OK","CHECK"),IF(B4=C4,"OK","CHECK"))</f>
        <v>OK</v>
      </c>
      <c r="E4" s="6" t="s">
        <v>340</v>
      </c>
    </row>
    <row r="5" spans="1:5" x14ac:dyDescent="0.25">
      <c r="A5" s="6" t="s">
        <v>341</v>
      </c>
      <c r="B5" s="18">
        <f>SUM(Pathways_48!D12:D59)</f>
        <v>31</v>
      </c>
      <c r="C5" s="22">
        <f>Funnel!C5</f>
        <v>31</v>
      </c>
      <c r="D5" s="6" t="str">
        <f t="shared" si="0"/>
        <v>OK</v>
      </c>
      <c r="E5" s="6" t="s">
        <v>340</v>
      </c>
    </row>
    <row r="6" spans="1:5" x14ac:dyDescent="0.25">
      <c r="A6" s="6" t="s">
        <v>342</v>
      </c>
      <c r="B6" s="18">
        <f>SUM(Pathways_48!I12:I59)</f>
        <v>18</v>
      </c>
      <c r="C6" s="22">
        <f>Funnel!C6</f>
        <v>18</v>
      </c>
      <c r="D6" s="6" t="str">
        <f t="shared" si="0"/>
        <v>OK</v>
      </c>
      <c r="E6" s="6" t="s">
        <v>340</v>
      </c>
    </row>
    <row r="7" spans="1:5" x14ac:dyDescent="0.25">
      <c r="A7" s="6" t="s">
        <v>343</v>
      </c>
      <c r="B7" s="18">
        <f>SUM(Pathways_48!M12:M59)</f>
        <v>9</v>
      </c>
      <c r="C7" s="22">
        <f>Funnel!C7</f>
        <v>9</v>
      </c>
      <c r="D7" s="6" t="str">
        <f t="shared" si="0"/>
        <v>OK</v>
      </c>
      <c r="E7" s="6" t="s">
        <v>340</v>
      </c>
    </row>
    <row r="8" spans="1:5" x14ac:dyDescent="0.25">
      <c r="A8" s="6" t="s">
        <v>344</v>
      </c>
      <c r="B8" s="18">
        <f>SUM(Pathways_48!S12:S59)</f>
        <v>3</v>
      </c>
      <c r="C8" s="22">
        <f>Funnel!C8</f>
        <v>3</v>
      </c>
      <c r="D8" s="6" t="str">
        <f t="shared" si="0"/>
        <v>OK</v>
      </c>
      <c r="E8" s="6" t="s">
        <v>340</v>
      </c>
    </row>
    <row r="9" spans="1:5" x14ac:dyDescent="0.25">
      <c r="A9" s="6" t="s">
        <v>345</v>
      </c>
      <c r="B9" s="18">
        <f>SUM(Pathways_48!T12:T59)</f>
        <v>1</v>
      </c>
      <c r="C9" s="22">
        <f>Funnel!C9</f>
        <v>1</v>
      </c>
      <c r="D9" s="6" t="str">
        <f t="shared" si="0"/>
        <v>OK</v>
      </c>
      <c r="E9" s="6" t="s">
        <v>340</v>
      </c>
    </row>
    <row r="10" spans="1:5" x14ac:dyDescent="0.25">
      <c r="A10" s="6" t="s">
        <v>346</v>
      </c>
      <c r="B10" s="18">
        <f>AVERAGE(Pathways_48!C12:C59)</f>
        <v>0.79104166666666653</v>
      </c>
      <c r="C10" s="22">
        <f>AI_Confidence!B5</f>
        <v>0.79</v>
      </c>
      <c r="D10" s="6" t="str">
        <f t="shared" si="0"/>
        <v>OK</v>
      </c>
      <c r="E10" s="6" t="s">
        <v>48</v>
      </c>
    </row>
    <row r="11" spans="1:5" x14ac:dyDescent="0.25">
      <c r="A11" s="6" t="s">
        <v>347</v>
      </c>
      <c r="B11" s="18">
        <f>MEDIAN(Pathways_48!C12:C59)</f>
        <v>0.81</v>
      </c>
      <c r="C11" s="22">
        <f>AI_Confidence!B6</f>
        <v>0.81</v>
      </c>
      <c r="D11" s="6" t="str">
        <f t="shared" si="0"/>
        <v>OK</v>
      </c>
      <c r="E11" s="6" t="s">
        <v>48</v>
      </c>
    </row>
    <row r="12" spans="1:5" x14ac:dyDescent="0.25">
      <c r="A12" s="6" t="s">
        <v>348</v>
      </c>
      <c r="B12" s="18">
        <f>STDEV(Pathways_48!C12:C59)</f>
        <v>0.10727256164681509</v>
      </c>
      <c r="C12" s="22">
        <f>AI_Confidence!B7</f>
        <v>0.11</v>
      </c>
      <c r="D12" s="6" t="str">
        <f t="shared" si="0"/>
        <v>OK</v>
      </c>
      <c r="E12" s="6" t="s">
        <v>48</v>
      </c>
    </row>
    <row r="13" spans="1:5" x14ac:dyDescent="0.25">
      <c r="A13" s="6" t="s">
        <v>349</v>
      </c>
      <c r="B13" s="18">
        <f>MIN(Pathways_48!C12:C59)</f>
        <v>0.61</v>
      </c>
      <c r="C13" s="22">
        <f>AI_Confidence!B8</f>
        <v>0.61</v>
      </c>
      <c r="D13" s="6" t="str">
        <f t="shared" si="0"/>
        <v>OK</v>
      </c>
      <c r="E13" s="6" t="s">
        <v>48</v>
      </c>
    </row>
    <row r="14" spans="1:5" x14ac:dyDescent="0.25">
      <c r="A14" s="6" t="s">
        <v>350</v>
      </c>
      <c r="B14" s="18">
        <f>MAX(Pathways_48!C12:C59)</f>
        <v>0.97</v>
      </c>
      <c r="C14" s="22">
        <f>AI_Confidence!B9</f>
        <v>0.97</v>
      </c>
      <c r="D14" s="6" t="str">
        <f t="shared" si="0"/>
        <v>OK</v>
      </c>
      <c r="E14" s="6" t="s">
        <v>48</v>
      </c>
    </row>
    <row r="15" spans="1:5" x14ac:dyDescent="0.25">
      <c r="A15" s="6" t="s">
        <v>351</v>
      </c>
      <c r="B15" s="18">
        <f>COUNTIF(Pathways_48!C12:C59,"&gt;0.8")</f>
        <v>28</v>
      </c>
      <c r="C15" s="22">
        <f>AI_Confidence!B10</f>
        <v>28</v>
      </c>
      <c r="D15" s="6" t="str">
        <f t="shared" si="0"/>
        <v>OK</v>
      </c>
      <c r="E15" s="6" t="s">
        <v>48</v>
      </c>
    </row>
    <row r="16" spans="1:5" x14ac:dyDescent="0.25">
      <c r="A16" s="6" t="s">
        <v>352</v>
      </c>
      <c r="B16" s="18">
        <f>AVERAGE(Pathways_48!C12:C42)</f>
        <v>0.83838709677419354</v>
      </c>
      <c r="C16" s="22">
        <f>AI_Confidence!C5</f>
        <v>0.84</v>
      </c>
      <c r="D16" s="6" t="str">
        <f t="shared" si="0"/>
        <v>OK</v>
      </c>
      <c r="E16" s="6" t="s">
        <v>353</v>
      </c>
    </row>
    <row r="17" spans="1:5" x14ac:dyDescent="0.25">
      <c r="A17" s="6" t="s">
        <v>354</v>
      </c>
      <c r="B17" s="18">
        <f>MEDIAN(Pathways_48!C12:C42)</f>
        <v>0.85</v>
      </c>
      <c r="C17" s="22">
        <f>AI_Confidence!C6</f>
        <v>0.85</v>
      </c>
      <c r="D17" s="6" t="str">
        <f t="shared" si="0"/>
        <v>OK</v>
      </c>
      <c r="E17" s="6" t="s">
        <v>48</v>
      </c>
    </row>
    <row r="18" spans="1:5" x14ac:dyDescent="0.25">
      <c r="A18" s="6" t="s">
        <v>355</v>
      </c>
      <c r="B18" s="18">
        <f>STDEV(Pathways_48!C12:C42)</f>
        <v>8.2869245368574387E-2</v>
      </c>
      <c r="C18" s="22">
        <f>AI_Confidence!C7</f>
        <v>0.08</v>
      </c>
      <c r="D18" s="6" t="str">
        <f t="shared" si="0"/>
        <v>OK</v>
      </c>
      <c r="E18" s="6" t="s">
        <v>353</v>
      </c>
    </row>
    <row r="19" spans="1:5" x14ac:dyDescent="0.25">
      <c r="A19" s="6" t="s">
        <v>356</v>
      </c>
      <c r="B19" s="18">
        <f>MIN(Pathways_48!C12:C42)</f>
        <v>0.65</v>
      </c>
      <c r="C19" s="22">
        <f>AI_Confidence!C8</f>
        <v>0.65</v>
      </c>
      <c r="D19" s="6" t="str">
        <f t="shared" si="0"/>
        <v>OK</v>
      </c>
      <c r="E19" s="6" t="s">
        <v>357</v>
      </c>
    </row>
    <row r="20" spans="1:5" x14ac:dyDescent="0.25">
      <c r="A20" s="6" t="s">
        <v>358</v>
      </c>
      <c r="B20" s="18">
        <f>MAX(Pathways_48!C12:C42)</f>
        <v>0.97</v>
      </c>
      <c r="C20" s="22">
        <f>AI_Confidence!C9</f>
        <v>0.97</v>
      </c>
      <c r="D20" s="6" t="str">
        <f t="shared" si="0"/>
        <v>OK</v>
      </c>
      <c r="E20" s="6" t="s">
        <v>353</v>
      </c>
    </row>
    <row r="21" spans="1:5" x14ac:dyDescent="0.25">
      <c r="A21" s="6" t="s">
        <v>359</v>
      </c>
      <c r="B21" s="18">
        <f>COUNTIF(Pathways_48!C12:C42,"&gt;0.8")</f>
        <v>22</v>
      </c>
      <c r="C21" s="22">
        <f>AI_Confidence!C10</f>
        <v>22</v>
      </c>
      <c r="D21" s="6" t="str">
        <f t="shared" si="0"/>
        <v>OK</v>
      </c>
      <c r="E21" s="6" t="s">
        <v>70</v>
      </c>
    </row>
    <row r="22" spans="1:5" x14ac:dyDescent="0.25">
      <c r="A22" s="6" t="s">
        <v>360</v>
      </c>
      <c r="B22" s="18">
        <f>MIN(Pathways_48!E12:E29)</f>
        <v>18.600000000000001</v>
      </c>
      <c r="C22" s="22">
        <f>DFT!C13</f>
        <v>18.600000000000001</v>
      </c>
      <c r="D22" s="6" t="str">
        <f t="shared" si="0"/>
        <v>OK</v>
      </c>
      <c r="E22" s="6" t="s">
        <v>361</v>
      </c>
    </row>
    <row r="23" spans="1:5" x14ac:dyDescent="0.25">
      <c r="A23" s="6" t="s">
        <v>362</v>
      </c>
      <c r="B23" s="18">
        <f>MAX(Pathways_48!E12:E29)</f>
        <v>33.799999999999997</v>
      </c>
      <c r="C23" s="22">
        <f>DFT!C14</f>
        <v>33.799999999999997</v>
      </c>
      <c r="D23" s="6" t="str">
        <f t="shared" si="0"/>
        <v>OK</v>
      </c>
      <c r="E23" s="6" t="s">
        <v>361</v>
      </c>
    </row>
    <row r="24" spans="1:5" x14ac:dyDescent="0.25">
      <c r="A24" s="6" t="s">
        <v>363</v>
      </c>
      <c r="B24" s="18">
        <f>MIN(Pathways_48!F12:F29)</f>
        <v>4.28</v>
      </c>
      <c r="C24" s="22">
        <f>DFT!C15</f>
        <v>4.28</v>
      </c>
      <c r="D24" s="6" t="str">
        <f t="shared" si="0"/>
        <v>OK</v>
      </c>
      <c r="E24" s="6" t="s">
        <v>364</v>
      </c>
    </row>
    <row r="25" spans="1:5" x14ac:dyDescent="0.25">
      <c r="A25" s="6" t="s">
        <v>365</v>
      </c>
      <c r="B25" s="18">
        <f>MAX(Pathways_48!F12:F29)</f>
        <v>5.61</v>
      </c>
      <c r="C25" s="22">
        <f>DFT!C16</f>
        <v>5.61</v>
      </c>
      <c r="D25" s="6" t="str">
        <f t="shared" si="0"/>
        <v>OK</v>
      </c>
      <c r="E25" s="6" t="s">
        <v>364</v>
      </c>
    </row>
    <row r="26" spans="1:5" x14ac:dyDescent="0.25">
      <c r="A26" s="6" t="s">
        <v>366</v>
      </c>
      <c r="B26" s="18">
        <f>RSQ(Pathways_48!E12:E29,Pathways_48!F12:F29)</f>
        <v>0.81980160459412887</v>
      </c>
      <c r="C26" s="22">
        <f>DFT!C18</f>
        <v>0.82</v>
      </c>
      <c r="D26" s="6" t="str">
        <f t="shared" si="0"/>
        <v>OK</v>
      </c>
      <c r="E26" s="6" t="s">
        <v>367</v>
      </c>
    </row>
    <row r="27" spans="1:5" ht="25.5" x14ac:dyDescent="0.25">
      <c r="A27" s="6" t="s">
        <v>368</v>
      </c>
      <c r="B27" s="18">
        <f>ABS(CORREL(Pathways_48!F12:F29,Pathways_48!E12:E29))</f>
        <v>0.90542896164974129</v>
      </c>
      <c r="C27" s="22">
        <f>ABS(DFT!C17)</f>
        <v>0.91</v>
      </c>
      <c r="D27" s="6" t="str">
        <f t="shared" si="0"/>
        <v>OK</v>
      </c>
      <c r="E27" s="6" t="s">
        <v>369</v>
      </c>
    </row>
    <row r="28" spans="1:5" x14ac:dyDescent="0.25">
      <c r="A28" s="6" t="s">
        <v>370</v>
      </c>
      <c r="B28" s="18" t="str">
        <f>IF(MAX(Pathways_48!H12:H29)&lt;0,"Yes","No")</f>
        <v>Yes</v>
      </c>
      <c r="C28" s="19" t="s">
        <v>119</v>
      </c>
      <c r="D28" s="6" t="str">
        <f t="shared" si="0"/>
        <v>OK</v>
      </c>
      <c r="E28" s="6" t="s">
        <v>371</v>
      </c>
    </row>
    <row r="29" spans="1:5" x14ac:dyDescent="0.25">
      <c r="A29" s="6" t="s">
        <v>372</v>
      </c>
      <c r="B29" s="18">
        <f>MAX(Pathways_48!G12:G29)</f>
        <v>0.34</v>
      </c>
      <c r="C29" s="22">
        <f>DFT!D7</f>
        <v>0.34</v>
      </c>
      <c r="D29" s="6" t="str">
        <f t="shared" si="0"/>
        <v>OK</v>
      </c>
      <c r="E29" s="6" t="s">
        <v>373</v>
      </c>
    </row>
    <row r="30" spans="1:5" x14ac:dyDescent="0.25">
      <c r="A30" s="6" t="s">
        <v>374</v>
      </c>
      <c r="B30" s="18">
        <f>MAX(Pathways_48!J12:J20)</f>
        <v>87.3</v>
      </c>
      <c r="C30" s="22">
        <f>Green!C29</f>
        <v>87.3</v>
      </c>
      <c r="D30" s="6" t="str">
        <f t="shared" si="0"/>
        <v>OK</v>
      </c>
      <c r="E30" s="6" t="s">
        <v>375</v>
      </c>
    </row>
    <row r="31" spans="1:5" x14ac:dyDescent="0.25">
      <c r="A31" s="6" t="s">
        <v>376</v>
      </c>
      <c r="B31" s="18">
        <f>MIN(Pathways_48!J12:J20)</f>
        <v>58.4</v>
      </c>
      <c r="C31" s="22">
        <f>Green!C30</f>
        <v>58.4</v>
      </c>
      <c r="D31" s="6" t="str">
        <f t="shared" si="0"/>
        <v>OK</v>
      </c>
      <c r="E31" s="6" t="s">
        <v>377</v>
      </c>
    </row>
    <row r="32" spans="1:5" x14ac:dyDescent="0.25">
      <c r="A32" s="6" t="s">
        <v>378</v>
      </c>
      <c r="B32" s="18">
        <f>MIN(Pathways_48!K12:K20)</f>
        <v>16.8</v>
      </c>
      <c r="C32" s="22">
        <f>Green!C31</f>
        <v>16.8</v>
      </c>
      <c r="D32" s="6" t="str">
        <f t="shared" si="0"/>
        <v>OK</v>
      </c>
      <c r="E32" s="6" t="s">
        <v>379</v>
      </c>
    </row>
    <row r="33" spans="1:5" x14ac:dyDescent="0.25">
      <c r="A33" s="6" t="s">
        <v>380</v>
      </c>
      <c r="B33" s="18">
        <f>MAX(Pathways_48!K12:K20)</f>
        <v>38.4</v>
      </c>
      <c r="C33" s="22">
        <f>Green!C32</f>
        <v>38.4</v>
      </c>
      <c r="D33" s="6" t="str">
        <f t="shared" si="0"/>
        <v>OK</v>
      </c>
      <c r="E33" s="6" t="s">
        <v>381</v>
      </c>
    </row>
    <row r="34" spans="1:5" x14ac:dyDescent="0.25">
      <c r="A34" s="6" t="s">
        <v>382</v>
      </c>
      <c r="B34" s="18">
        <f>MIN(Pathways_48!L12:L20)</f>
        <v>12.6</v>
      </c>
      <c r="C34" s="22">
        <f>Green!D6</f>
        <v>12.6</v>
      </c>
      <c r="D34" s="6" t="str">
        <f t="shared" si="0"/>
        <v>OK</v>
      </c>
      <c r="E34" s="6" t="s">
        <v>383</v>
      </c>
    </row>
    <row r="35" spans="1:5" x14ac:dyDescent="0.25">
      <c r="A35" s="6" t="s">
        <v>384</v>
      </c>
      <c r="B35" s="18">
        <f>MAX(Pathways_48!L12:L20)</f>
        <v>31.2</v>
      </c>
      <c r="C35" s="22">
        <f>Green!D4</f>
        <v>31.2</v>
      </c>
      <c r="D35" s="6" t="str">
        <f t="shared" si="0"/>
        <v>OK</v>
      </c>
      <c r="E35" s="6" t="s">
        <v>385</v>
      </c>
    </row>
    <row r="36" spans="1:5" x14ac:dyDescent="0.25">
      <c r="A36" s="6" t="s">
        <v>386</v>
      </c>
      <c r="B36" s="18">
        <f>MIN(Pathways_48!Q12:Q20)</f>
        <v>0.41</v>
      </c>
      <c r="C36" s="22">
        <f>Composite!C22</f>
        <v>0.41</v>
      </c>
      <c r="D36" s="6" t="str">
        <f t="shared" si="0"/>
        <v>OK</v>
      </c>
      <c r="E36" s="6" t="s">
        <v>387</v>
      </c>
    </row>
    <row r="37" spans="1:5" x14ac:dyDescent="0.25">
      <c r="A37" s="6" t="s">
        <v>388</v>
      </c>
      <c r="B37" s="18">
        <f>MAX(Pathways_48!Q12:Q20)</f>
        <v>0.94</v>
      </c>
      <c r="C37" s="22">
        <f>Composite!E22</f>
        <v>0.94</v>
      </c>
      <c r="D37" s="6" t="str">
        <f t="shared" si="0"/>
        <v>OK</v>
      </c>
      <c r="E37" s="6" t="s">
        <v>389</v>
      </c>
    </row>
    <row r="38" spans="1:5" x14ac:dyDescent="0.25">
      <c r="A38" s="6" t="s">
        <v>390</v>
      </c>
      <c r="B38" s="18" t="str">
        <f>IF(Pathways_48!T14=1,"Yes","No")</f>
        <v>Yes</v>
      </c>
      <c r="C38" s="19" t="s">
        <v>119</v>
      </c>
      <c r="D38" s="6" t="str">
        <f t="shared" si="0"/>
        <v>OK</v>
      </c>
      <c r="E38" s="6" t="s">
        <v>391</v>
      </c>
    </row>
    <row r="39" spans="1:5" x14ac:dyDescent="0.25">
      <c r="A39" s="6" t="s">
        <v>392</v>
      </c>
      <c r="B39" s="18" t="str">
        <f>IF(AND(Pathways_48!S14=1,Pathways_48!S15=1,Pathways_48!S13=1,SUM(Pathways_48!S12:S59)=3),"Yes","No")</f>
        <v>Yes</v>
      </c>
      <c r="C39" s="19" t="s">
        <v>119</v>
      </c>
      <c r="D39" s="6" t="str">
        <f t="shared" si="0"/>
        <v>OK</v>
      </c>
      <c r="E39" s="6" t="s">
        <v>391</v>
      </c>
    </row>
    <row r="41" spans="1:5" x14ac:dyDescent="0.25">
      <c r="A41" s="9" t="s">
        <v>393</v>
      </c>
      <c r="D41" s="9" t="str">
        <f>IF(COUNTIF(D4:D39,"OK")=ROWS(D4:D39),"ALL MATCH","CHECK")</f>
        <v>ALL MATCH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zoomScaleNormal="100" workbookViewId="0">
      <selection activeCell="A3" sqref="A3"/>
    </sheetView>
  </sheetViews>
  <sheetFormatPr defaultColWidth="8.7109375" defaultRowHeight="15" x14ac:dyDescent="0.25"/>
  <cols>
    <col min="1" max="1" width="36" style="2" customWidth="1"/>
    <col min="2" max="2" width="44" style="2" customWidth="1"/>
    <col min="3" max="3" width="40" style="2" customWidth="1"/>
    <col min="4" max="4" width="34" style="2" customWidth="1"/>
    <col min="5" max="5" width="20" style="2" customWidth="1"/>
    <col min="6" max="6" width="16" style="2" customWidth="1"/>
  </cols>
  <sheetData>
    <row r="1" spans="1:2" ht="17.25" customHeight="1" x14ac:dyDescent="0.25">
      <c r="A1" s="3"/>
    </row>
    <row r="3" spans="1:2" ht="15" customHeight="1" x14ac:dyDescent="0.25">
      <c r="A3" s="23" t="s">
        <v>394</v>
      </c>
    </row>
    <row r="4" spans="1:2" ht="21.75" customHeight="1" x14ac:dyDescent="0.25">
      <c r="A4" s="4" t="s">
        <v>395</v>
      </c>
      <c r="B4" s="4" t="s">
        <v>396</v>
      </c>
    </row>
    <row r="5" spans="1:2" ht="15" customHeight="1" x14ac:dyDescent="0.25">
      <c r="A5" s="6" t="s">
        <v>397</v>
      </c>
      <c r="B5" s="6" t="s">
        <v>398</v>
      </c>
    </row>
    <row r="6" spans="1:2" ht="15" customHeight="1" x14ac:dyDescent="0.25">
      <c r="A6" s="6" t="s">
        <v>399</v>
      </c>
      <c r="B6" s="6" t="s">
        <v>400</v>
      </c>
    </row>
    <row r="7" spans="1:2" ht="15" customHeight="1" x14ac:dyDescent="0.25">
      <c r="A7" s="6" t="s">
        <v>401</v>
      </c>
      <c r="B7" s="6" t="s">
        <v>402</v>
      </c>
    </row>
    <row r="8" spans="1:2" ht="23.25" customHeight="1" x14ac:dyDescent="0.25">
      <c r="A8" s="6" t="s">
        <v>403</v>
      </c>
      <c r="B8" s="6" t="s">
        <v>404</v>
      </c>
    </row>
    <row r="9" spans="1:2" ht="23.25" customHeight="1" x14ac:dyDescent="0.25">
      <c r="A9" s="6" t="s">
        <v>405</v>
      </c>
      <c r="B9" s="6" t="s">
        <v>406</v>
      </c>
    </row>
    <row r="10" spans="1:2" ht="23.25" customHeight="1" x14ac:dyDescent="0.25">
      <c r="A10" s="6" t="s">
        <v>407</v>
      </c>
      <c r="B10" s="6" t="s">
        <v>408</v>
      </c>
    </row>
    <row r="11" spans="1:2" ht="23.25" customHeight="1" x14ac:dyDescent="0.25">
      <c r="A11" s="6" t="s">
        <v>409</v>
      </c>
      <c r="B11" s="6" t="s">
        <v>410</v>
      </c>
    </row>
    <row r="12" spans="1:2" ht="23.25" customHeight="1" x14ac:dyDescent="0.25">
      <c r="A12" s="6" t="s">
        <v>411</v>
      </c>
      <c r="B12" s="6" t="s">
        <v>412</v>
      </c>
    </row>
    <row r="13" spans="1:2" ht="23.25" customHeight="1" x14ac:dyDescent="0.25">
      <c r="A13" s="6" t="s">
        <v>413</v>
      </c>
      <c r="B13" s="6" t="s">
        <v>414</v>
      </c>
    </row>
    <row r="14" spans="1:2" ht="23.25" customHeight="1" x14ac:dyDescent="0.25">
      <c r="A14" s="6" t="s">
        <v>415</v>
      </c>
      <c r="B14" s="6" t="s">
        <v>416</v>
      </c>
    </row>
    <row r="16" spans="1:2" ht="15" customHeight="1" x14ac:dyDescent="0.25">
      <c r="A16" s="23" t="s">
        <v>417</v>
      </c>
    </row>
    <row r="17" spans="1:4" ht="21.75" customHeight="1" x14ac:dyDescent="0.25">
      <c r="A17" s="4" t="s">
        <v>418</v>
      </c>
      <c r="B17" s="4" t="s">
        <v>419</v>
      </c>
      <c r="C17" s="4" t="s">
        <v>420</v>
      </c>
      <c r="D17" s="4" t="s">
        <v>421</v>
      </c>
    </row>
    <row r="18" spans="1:4" ht="15" customHeight="1" x14ac:dyDescent="0.25">
      <c r="A18" s="6" t="s">
        <v>422</v>
      </c>
      <c r="B18" s="6" t="s">
        <v>423</v>
      </c>
      <c r="C18" s="6" t="s">
        <v>424</v>
      </c>
      <c r="D18" s="6" t="s">
        <v>425</v>
      </c>
    </row>
    <row r="19" spans="1:4" ht="15" customHeight="1" x14ac:dyDescent="0.25">
      <c r="A19" s="6" t="s">
        <v>426</v>
      </c>
      <c r="B19" s="6" t="s">
        <v>427</v>
      </c>
      <c r="C19" s="6" t="s">
        <v>428</v>
      </c>
      <c r="D19" s="6" t="s">
        <v>429</v>
      </c>
    </row>
    <row r="20" spans="1:4" ht="15" customHeight="1" x14ac:dyDescent="0.25">
      <c r="A20" s="6" t="s">
        <v>430</v>
      </c>
      <c r="B20" s="6" t="s">
        <v>431</v>
      </c>
      <c r="C20" s="6" t="s">
        <v>432</v>
      </c>
      <c r="D20" s="6" t="s">
        <v>433</v>
      </c>
    </row>
    <row r="21" spans="1:4" ht="15" customHeight="1" x14ac:dyDescent="0.25">
      <c r="A21" s="6" t="s">
        <v>434</v>
      </c>
      <c r="B21" s="6" t="s">
        <v>435</v>
      </c>
      <c r="C21" s="6" t="s">
        <v>436</v>
      </c>
      <c r="D21" s="6" t="s">
        <v>437</v>
      </c>
    </row>
    <row r="22" spans="1:4" ht="15" customHeight="1" x14ac:dyDescent="0.25">
      <c r="A22" s="6" t="s">
        <v>438</v>
      </c>
      <c r="B22" s="6" t="s">
        <v>439</v>
      </c>
      <c r="C22" s="6" t="s">
        <v>440</v>
      </c>
      <c r="D22" s="6" t="s">
        <v>437</v>
      </c>
    </row>
    <row r="23" spans="1:4" ht="15" customHeight="1" x14ac:dyDescent="0.25">
      <c r="A23" s="6" t="s">
        <v>441</v>
      </c>
      <c r="B23" s="6" t="s">
        <v>442</v>
      </c>
      <c r="C23" s="6" t="s">
        <v>443</v>
      </c>
      <c r="D23" s="6" t="s">
        <v>444</v>
      </c>
    </row>
    <row r="24" spans="1:4" ht="15" customHeight="1" x14ac:dyDescent="0.25">
      <c r="A24" s="6" t="s">
        <v>445</v>
      </c>
      <c r="B24" s="6" t="s">
        <v>446</v>
      </c>
      <c r="C24" s="6" t="s">
        <v>447</v>
      </c>
      <c r="D24" s="6" t="s">
        <v>448</v>
      </c>
    </row>
    <row r="25" spans="1:4" ht="15" customHeight="1" x14ac:dyDescent="0.25">
      <c r="A25" s="6" t="s">
        <v>449</v>
      </c>
      <c r="B25" s="6" t="s">
        <v>450</v>
      </c>
      <c r="C25" s="6" t="s">
        <v>451</v>
      </c>
      <c r="D25" s="6" t="s">
        <v>452</v>
      </c>
    </row>
    <row r="27" spans="1:4" ht="15" customHeight="1" x14ac:dyDescent="0.25">
      <c r="A27" s="23" t="s">
        <v>453</v>
      </c>
    </row>
    <row r="28" spans="1:4" ht="21.75" customHeight="1" x14ac:dyDescent="0.25">
      <c r="A28" s="4" t="s">
        <v>36</v>
      </c>
      <c r="B28" s="4" t="s">
        <v>454</v>
      </c>
      <c r="C28" s="4" t="s">
        <v>455</v>
      </c>
      <c r="D28" s="4" t="s">
        <v>456</v>
      </c>
    </row>
    <row r="29" spans="1:4" ht="23.25" customHeight="1" x14ac:dyDescent="0.25">
      <c r="A29" s="6" t="s">
        <v>165</v>
      </c>
      <c r="B29" s="6" t="s">
        <v>457</v>
      </c>
      <c r="C29" s="6" t="s">
        <v>458</v>
      </c>
      <c r="D29" s="6" t="s">
        <v>459</v>
      </c>
    </row>
    <row r="30" spans="1:4" ht="15" customHeight="1" x14ac:dyDescent="0.25">
      <c r="A30" s="6" t="s">
        <v>125</v>
      </c>
      <c r="B30" s="6" t="s">
        <v>460</v>
      </c>
      <c r="C30" s="6" t="s">
        <v>461</v>
      </c>
      <c r="D30" s="6" t="s">
        <v>462</v>
      </c>
    </row>
    <row r="31" spans="1:4" ht="15" customHeight="1" x14ac:dyDescent="0.25">
      <c r="A31" s="6" t="s">
        <v>463</v>
      </c>
      <c r="B31" s="6" t="s">
        <v>464</v>
      </c>
      <c r="C31" s="6" t="s">
        <v>465</v>
      </c>
      <c r="D31" s="6" t="s">
        <v>462</v>
      </c>
    </row>
    <row r="32" spans="1:4" ht="15" customHeight="1" x14ac:dyDescent="0.25">
      <c r="A32" s="6" t="s">
        <v>466</v>
      </c>
      <c r="B32" s="6" t="s">
        <v>467</v>
      </c>
      <c r="C32" s="6" t="s">
        <v>468</v>
      </c>
      <c r="D32" s="6" t="s">
        <v>459</v>
      </c>
    </row>
    <row r="34" spans="1:3" ht="15" customHeight="1" x14ac:dyDescent="0.25">
      <c r="A34" s="23" t="s">
        <v>469</v>
      </c>
    </row>
    <row r="35" spans="1:3" ht="21.75" customHeight="1" x14ac:dyDescent="0.25">
      <c r="A35" s="4" t="s">
        <v>470</v>
      </c>
      <c r="B35" s="4" t="s">
        <v>396</v>
      </c>
    </row>
    <row r="36" spans="1:3" ht="15" customHeight="1" x14ac:dyDescent="0.25">
      <c r="A36" s="6" t="s">
        <v>471</v>
      </c>
      <c r="B36" s="6" t="s">
        <v>472</v>
      </c>
    </row>
    <row r="37" spans="1:3" ht="15" customHeight="1" x14ac:dyDescent="0.25">
      <c r="A37" s="6" t="s">
        <v>473</v>
      </c>
      <c r="B37" s="6" t="s">
        <v>474</v>
      </c>
    </row>
    <row r="38" spans="1:3" ht="15" customHeight="1" x14ac:dyDescent="0.25">
      <c r="A38" s="6" t="s">
        <v>475</v>
      </c>
      <c r="B38" s="6" t="s">
        <v>476</v>
      </c>
    </row>
    <row r="39" spans="1:3" ht="15" customHeight="1" x14ac:dyDescent="0.25">
      <c r="A39" s="6" t="s">
        <v>477</v>
      </c>
      <c r="B39" s="6" t="s">
        <v>478</v>
      </c>
    </row>
    <row r="40" spans="1:3" ht="15" customHeight="1" x14ac:dyDescent="0.25">
      <c r="A40" s="6" t="s">
        <v>479</v>
      </c>
      <c r="B40" s="6" t="s">
        <v>480</v>
      </c>
    </row>
    <row r="41" spans="1:3" ht="15" customHeight="1" x14ac:dyDescent="0.25">
      <c r="A41" s="6" t="s">
        <v>481</v>
      </c>
      <c r="B41" s="6" t="s">
        <v>482</v>
      </c>
    </row>
    <row r="43" spans="1:3" ht="15" customHeight="1" x14ac:dyDescent="0.25">
      <c r="A43" s="23" t="s">
        <v>483</v>
      </c>
    </row>
    <row r="44" spans="1:3" ht="21.75" customHeight="1" x14ac:dyDescent="0.25">
      <c r="A44" s="4" t="s">
        <v>3</v>
      </c>
      <c r="B44" s="4" t="s">
        <v>484</v>
      </c>
      <c r="C44" s="4" t="s">
        <v>477</v>
      </c>
    </row>
    <row r="45" spans="1:3" ht="15" customHeight="1" x14ac:dyDescent="0.25">
      <c r="A45" s="6" t="s">
        <v>202</v>
      </c>
      <c r="B45" s="6" t="s">
        <v>485</v>
      </c>
      <c r="C45" s="6" t="s">
        <v>486</v>
      </c>
    </row>
    <row r="46" spans="1:3" ht="15" customHeight="1" x14ac:dyDescent="0.25">
      <c r="A46" s="6" t="s">
        <v>0</v>
      </c>
      <c r="B46" s="6" t="s">
        <v>487</v>
      </c>
      <c r="C46" s="6" t="s">
        <v>488</v>
      </c>
    </row>
    <row r="47" spans="1:3" ht="15" customHeight="1" x14ac:dyDescent="0.25">
      <c r="A47" s="6" t="s">
        <v>1</v>
      </c>
      <c r="B47" s="6" t="s">
        <v>489</v>
      </c>
      <c r="C47" s="6" t="s">
        <v>490</v>
      </c>
    </row>
    <row r="48" spans="1:3" ht="15" customHeight="1" x14ac:dyDescent="0.25">
      <c r="A48" s="6" t="s">
        <v>491</v>
      </c>
      <c r="B48" s="6" t="s">
        <v>492</v>
      </c>
      <c r="C48" s="6" t="s">
        <v>493</v>
      </c>
    </row>
    <row r="50" spans="1:3" ht="15" customHeight="1" x14ac:dyDescent="0.25">
      <c r="A50" s="23" t="s">
        <v>494</v>
      </c>
    </row>
    <row r="51" spans="1:3" ht="21.75" customHeight="1" x14ac:dyDescent="0.25">
      <c r="A51" s="4" t="s">
        <v>495</v>
      </c>
      <c r="B51" s="4" t="s">
        <v>419</v>
      </c>
      <c r="C51" s="4" t="s">
        <v>496</v>
      </c>
    </row>
    <row r="52" spans="1:3" ht="15" customHeight="1" x14ac:dyDescent="0.25">
      <c r="A52" s="6" t="s">
        <v>269</v>
      </c>
      <c r="B52" s="6" t="s">
        <v>497</v>
      </c>
      <c r="C52" s="6" t="s">
        <v>498</v>
      </c>
    </row>
    <row r="53" spans="1:3" ht="15" customHeight="1" x14ac:dyDescent="0.25">
      <c r="A53" s="6" t="s">
        <v>499</v>
      </c>
      <c r="B53" s="6" t="s">
        <v>500</v>
      </c>
      <c r="C53" s="6" t="s">
        <v>501</v>
      </c>
    </row>
    <row r="54" spans="1:3" ht="15" customHeight="1" x14ac:dyDescent="0.25">
      <c r="A54" s="6" t="s">
        <v>502</v>
      </c>
      <c r="B54" s="6" t="s">
        <v>503</v>
      </c>
      <c r="C54" s="6" t="s">
        <v>498</v>
      </c>
    </row>
    <row r="55" spans="1:3" ht="15" customHeight="1" x14ac:dyDescent="0.25">
      <c r="A55" s="6" t="s">
        <v>165</v>
      </c>
      <c r="B55" s="6" t="s">
        <v>504</v>
      </c>
      <c r="C55" s="6" t="s">
        <v>498</v>
      </c>
    </row>
    <row r="56" spans="1:3" ht="15" customHeight="1" x14ac:dyDescent="0.25">
      <c r="A56" s="6" t="s">
        <v>124</v>
      </c>
      <c r="B56" s="6" t="s">
        <v>124</v>
      </c>
      <c r="C56" s="6" t="s">
        <v>501</v>
      </c>
    </row>
    <row r="57" spans="1:3" ht="15" customHeight="1" x14ac:dyDescent="0.25">
      <c r="A57" s="6" t="s">
        <v>125</v>
      </c>
      <c r="B57" s="6" t="s">
        <v>505</v>
      </c>
      <c r="C57" s="6" t="s">
        <v>501</v>
      </c>
    </row>
    <row r="59" spans="1:3" ht="15" customHeight="1" x14ac:dyDescent="0.25">
      <c r="A59" s="23" t="s">
        <v>506</v>
      </c>
    </row>
    <row r="60" spans="1:3" ht="21.75" customHeight="1" x14ac:dyDescent="0.25">
      <c r="A60" s="4" t="s">
        <v>507</v>
      </c>
      <c r="B60" s="4" t="s">
        <v>508</v>
      </c>
      <c r="C60" s="4" t="s">
        <v>509</v>
      </c>
    </row>
    <row r="61" spans="1:3" ht="15" customHeight="1" x14ac:dyDescent="0.25">
      <c r="A61" s="6" t="s">
        <v>510</v>
      </c>
      <c r="B61" s="6" t="s">
        <v>511</v>
      </c>
      <c r="C61" s="6" t="s">
        <v>512</v>
      </c>
    </row>
    <row r="62" spans="1:3" ht="15" customHeight="1" x14ac:dyDescent="0.25">
      <c r="A62" s="6" t="s">
        <v>513</v>
      </c>
      <c r="B62" s="6" t="s">
        <v>511</v>
      </c>
      <c r="C62" s="6" t="s">
        <v>514</v>
      </c>
    </row>
    <row r="63" spans="1:3" ht="15" customHeight="1" x14ac:dyDescent="0.25">
      <c r="A63" s="6" t="s">
        <v>515</v>
      </c>
      <c r="B63" s="6" t="s">
        <v>511</v>
      </c>
      <c r="C63" s="6" t="s">
        <v>512</v>
      </c>
    </row>
    <row r="64" spans="1:3" ht="15" customHeight="1" x14ac:dyDescent="0.25">
      <c r="A64" s="6" t="s">
        <v>516</v>
      </c>
      <c r="B64" s="6" t="s">
        <v>517</v>
      </c>
      <c r="C64" s="6" t="s">
        <v>518</v>
      </c>
    </row>
    <row r="66" spans="1:6" ht="15" customHeight="1" x14ac:dyDescent="0.25">
      <c r="A66" s="23" t="s">
        <v>519</v>
      </c>
    </row>
    <row r="67" spans="1:6" ht="21.75" customHeight="1" x14ac:dyDescent="0.25">
      <c r="A67" s="4" t="s">
        <v>520</v>
      </c>
      <c r="B67" s="4" t="s">
        <v>202</v>
      </c>
      <c r="C67" s="4" t="s">
        <v>0</v>
      </c>
      <c r="D67" s="4" t="s">
        <v>521</v>
      </c>
      <c r="E67" s="4" t="s">
        <v>522</v>
      </c>
      <c r="F67" s="4" t="s">
        <v>523</v>
      </c>
    </row>
    <row r="68" spans="1:6" ht="15" customHeight="1" x14ac:dyDescent="0.25">
      <c r="A68" s="6" t="s">
        <v>524</v>
      </c>
      <c r="B68" s="6" t="s">
        <v>525</v>
      </c>
      <c r="C68" s="6" t="s">
        <v>526</v>
      </c>
      <c r="D68" s="6" t="s">
        <v>526</v>
      </c>
      <c r="E68" s="6" t="s">
        <v>526</v>
      </c>
      <c r="F68" s="6" t="s">
        <v>526</v>
      </c>
    </row>
    <row r="69" spans="1:6" ht="15" customHeight="1" x14ac:dyDescent="0.25">
      <c r="A69" s="6" t="s">
        <v>527</v>
      </c>
      <c r="B69" s="6" t="s">
        <v>525</v>
      </c>
      <c r="C69" s="6" t="s">
        <v>525</v>
      </c>
      <c r="D69" s="6" t="s">
        <v>526</v>
      </c>
      <c r="E69" s="6" t="s">
        <v>526</v>
      </c>
      <c r="F69" s="6" t="s">
        <v>526</v>
      </c>
    </row>
    <row r="70" spans="1:6" ht="15" customHeight="1" x14ac:dyDescent="0.25">
      <c r="A70" s="6" t="s">
        <v>528</v>
      </c>
      <c r="B70" s="6" t="s">
        <v>525</v>
      </c>
      <c r="C70" s="6" t="s">
        <v>526</v>
      </c>
      <c r="D70" s="6" t="s">
        <v>525</v>
      </c>
      <c r="E70" s="6" t="s">
        <v>526</v>
      </c>
      <c r="F70" s="6" t="s">
        <v>526</v>
      </c>
    </row>
    <row r="71" spans="1:6" ht="15" customHeight="1" x14ac:dyDescent="0.25">
      <c r="A71" s="6" t="s">
        <v>529</v>
      </c>
      <c r="B71" s="6" t="s">
        <v>525</v>
      </c>
      <c r="C71" s="6" t="s">
        <v>525</v>
      </c>
      <c r="D71" s="6" t="s">
        <v>525</v>
      </c>
      <c r="E71" s="6" t="s">
        <v>525</v>
      </c>
      <c r="F71" s="6" t="s">
        <v>525</v>
      </c>
    </row>
    <row r="73" spans="1:6" ht="15" customHeight="1" x14ac:dyDescent="0.25">
      <c r="A73" s="23" t="s">
        <v>530</v>
      </c>
    </row>
    <row r="74" spans="1:6" ht="21.75" customHeight="1" x14ac:dyDescent="0.25">
      <c r="A74" s="4" t="s">
        <v>531</v>
      </c>
      <c r="B74" s="4" t="s">
        <v>418</v>
      </c>
      <c r="C74" s="4" t="s">
        <v>456</v>
      </c>
      <c r="D74" s="4" t="s">
        <v>2</v>
      </c>
    </row>
    <row r="75" spans="1:6" ht="15" customHeight="1" x14ac:dyDescent="0.25">
      <c r="A75" s="6" t="s">
        <v>532</v>
      </c>
      <c r="B75" s="6" t="s">
        <v>533</v>
      </c>
      <c r="C75" s="6" t="s">
        <v>459</v>
      </c>
      <c r="D75" s="6" t="s">
        <v>534</v>
      </c>
    </row>
    <row r="76" spans="1:6" ht="15" customHeight="1" x14ac:dyDescent="0.25">
      <c r="A76" s="6" t="s">
        <v>532</v>
      </c>
      <c r="B76" s="6" t="s">
        <v>535</v>
      </c>
      <c r="C76" s="6" t="s">
        <v>459</v>
      </c>
      <c r="D76" s="6" t="s">
        <v>534</v>
      </c>
    </row>
    <row r="77" spans="1:6" ht="15" customHeight="1" x14ac:dyDescent="0.25">
      <c r="A77" s="6" t="s">
        <v>536</v>
      </c>
      <c r="B77" s="6" t="s">
        <v>537</v>
      </c>
      <c r="C77" s="6" t="s">
        <v>462</v>
      </c>
      <c r="D77" s="6" t="s">
        <v>538</v>
      </c>
    </row>
    <row r="78" spans="1:6" ht="15" customHeight="1" x14ac:dyDescent="0.25">
      <c r="A78" s="6" t="s">
        <v>536</v>
      </c>
      <c r="B78" s="6" t="s">
        <v>430</v>
      </c>
      <c r="C78" s="6" t="s">
        <v>462</v>
      </c>
      <c r="D78" s="6" t="s">
        <v>538</v>
      </c>
    </row>
    <row r="79" spans="1:6" ht="15" customHeight="1" x14ac:dyDescent="0.25">
      <c r="A79" s="6" t="s">
        <v>536</v>
      </c>
      <c r="B79" s="6" t="s">
        <v>539</v>
      </c>
      <c r="C79" s="6" t="s">
        <v>459</v>
      </c>
      <c r="D79" s="6" t="s">
        <v>534</v>
      </c>
    </row>
    <row r="80" spans="1:6" ht="15" customHeight="1" x14ac:dyDescent="0.25">
      <c r="A80" s="6" t="s">
        <v>204</v>
      </c>
      <c r="B80" s="6" t="s">
        <v>165</v>
      </c>
      <c r="C80" s="6" t="s">
        <v>459</v>
      </c>
      <c r="D80" s="6" t="s">
        <v>534</v>
      </c>
    </row>
    <row r="81" spans="1:4" ht="15" customHeight="1" x14ac:dyDescent="0.25">
      <c r="A81" s="6" t="s">
        <v>204</v>
      </c>
      <c r="B81" s="6" t="s">
        <v>124</v>
      </c>
      <c r="C81" s="6" t="s">
        <v>462</v>
      </c>
      <c r="D81" s="6" t="s">
        <v>538</v>
      </c>
    </row>
    <row r="82" spans="1:4" ht="15" customHeight="1" x14ac:dyDescent="0.25">
      <c r="A82" s="6" t="s">
        <v>204</v>
      </c>
      <c r="B82" s="6" t="s">
        <v>125</v>
      </c>
      <c r="C82" s="6" t="s">
        <v>462</v>
      </c>
      <c r="D82" s="6" t="s">
        <v>538</v>
      </c>
    </row>
    <row r="84" spans="1:4" ht="15" customHeight="1" x14ac:dyDescent="0.25">
      <c r="A84" s="23" t="s">
        <v>540</v>
      </c>
    </row>
    <row r="85" spans="1:4" ht="21.75" customHeight="1" x14ac:dyDescent="0.25">
      <c r="A85" s="4" t="s">
        <v>541</v>
      </c>
      <c r="B85" s="4" t="s">
        <v>542</v>
      </c>
    </row>
    <row r="86" spans="1:4" ht="23.25" customHeight="1" x14ac:dyDescent="0.25">
      <c r="A86" s="6" t="s">
        <v>543</v>
      </c>
      <c r="B86" s="6" t="s">
        <v>544</v>
      </c>
    </row>
    <row r="87" spans="1:4" ht="23.25" customHeight="1" x14ac:dyDescent="0.25">
      <c r="A87" s="6" t="s">
        <v>545</v>
      </c>
      <c r="B87" s="6" t="s">
        <v>546</v>
      </c>
    </row>
    <row r="88" spans="1:4" ht="15" customHeight="1" x14ac:dyDescent="0.25">
      <c r="A88" s="6" t="s">
        <v>547</v>
      </c>
      <c r="B88" s="6" t="s">
        <v>548</v>
      </c>
    </row>
    <row r="89" spans="1:4" ht="15" customHeight="1" x14ac:dyDescent="0.25">
      <c r="A89" s="6" t="s">
        <v>549</v>
      </c>
      <c r="B89" s="6" t="s">
        <v>550</v>
      </c>
    </row>
    <row r="90" spans="1:4" ht="15" customHeight="1" x14ac:dyDescent="0.25">
      <c r="A90" s="6" t="s">
        <v>551</v>
      </c>
      <c r="B90" s="6" t="s">
        <v>552</v>
      </c>
    </row>
    <row r="91" spans="1:4" ht="15" customHeight="1" x14ac:dyDescent="0.25">
      <c r="A91" s="6" t="s">
        <v>553</v>
      </c>
      <c r="B91" s="6" t="s">
        <v>554</v>
      </c>
    </row>
    <row r="92" spans="1:4" ht="15" customHeight="1" x14ac:dyDescent="0.25">
      <c r="A92" s="6" t="s">
        <v>555</v>
      </c>
      <c r="B92" s="6" t="s">
        <v>556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Funnel</vt:lpstr>
      <vt:lpstr>AI_Confidence</vt:lpstr>
      <vt:lpstr>DFT</vt:lpstr>
      <vt:lpstr>Green</vt:lpstr>
      <vt:lpstr>Composite</vt:lpstr>
      <vt:lpstr>Sensitivity</vt:lpstr>
      <vt:lpstr>Normalization</vt:lpstr>
      <vt:lpstr>Generalization</vt:lpstr>
      <vt:lpstr>Pathways_48</vt:lpstr>
      <vt:lpstr>Pathways_Check</vt:lpstr>
      <vt:lpstr>Qualitative_Tables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2026-10-02T08:18:34Z</dcterms:created>
  <dcterms:modified xsi:type="dcterms:W3CDTF">2026-10-16T21:11:29Z</dcterms:modified>
  <dc:language>en-US</dc:language>
</cp:coreProperties>
</file>